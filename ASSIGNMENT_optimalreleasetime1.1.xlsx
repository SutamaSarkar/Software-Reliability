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ITKGP2NDSEM\SR\"/>
    </mc:Choice>
  </mc:AlternateContent>
  <bookViews>
    <workbookView xWindow="-105" yWindow="-105" windowWidth="19425" windowHeight="1150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1" i="1" l="1"/>
  <c r="S91" i="1"/>
  <c r="T91" i="1" s="1"/>
  <c r="U90" i="1"/>
  <c r="S90" i="1"/>
  <c r="T90" i="1" s="1"/>
  <c r="M2" i="1" l="1"/>
  <c r="U85" i="1" l="1"/>
  <c r="U86" i="1"/>
  <c r="U87" i="1"/>
  <c r="U88" i="1"/>
  <c r="U89" i="1"/>
  <c r="U84" i="1"/>
  <c r="S81" i="1"/>
  <c r="S84" i="1"/>
  <c r="P65" i="1"/>
  <c r="S85" i="1" l="1"/>
  <c r="T85" i="1" s="1"/>
  <c r="S86" i="1"/>
  <c r="T86" i="1" s="1"/>
  <c r="S87" i="1"/>
  <c r="T87" i="1" s="1"/>
  <c r="S88" i="1"/>
  <c r="T88" i="1" s="1"/>
  <c r="S89" i="1"/>
  <c r="T89" i="1" s="1"/>
  <c r="T84" i="1"/>
  <c r="Y20" i="1"/>
  <c r="P19" i="1"/>
  <c r="P18" i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M62" i="1" s="1"/>
  <c r="G64" i="1"/>
  <c r="H64" i="1" s="1"/>
  <c r="M63" i="1" s="1"/>
  <c r="G65" i="1"/>
  <c r="H65" i="1" s="1"/>
  <c r="M64" i="1" s="1"/>
  <c r="G66" i="1"/>
  <c r="H66" i="1" s="1"/>
  <c r="G67" i="1"/>
  <c r="H67" i="1" s="1"/>
  <c r="M66" i="1" s="1"/>
  <c r="G68" i="1"/>
  <c r="H68" i="1" s="1"/>
  <c r="G69" i="1"/>
  <c r="H69" i="1" s="1"/>
  <c r="M68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M74" i="1" s="1"/>
  <c r="G76" i="1"/>
  <c r="H76" i="1" s="1"/>
  <c r="M75" i="1" s="1"/>
  <c r="G77" i="1"/>
  <c r="H77" i="1" s="1"/>
  <c r="M76" i="1" s="1"/>
  <c r="G78" i="1"/>
  <c r="H78" i="1" s="1"/>
  <c r="M77" i="1" s="1"/>
  <c r="G79" i="1"/>
  <c r="H79" i="1" s="1"/>
  <c r="M78" i="1" s="1"/>
  <c r="G80" i="1"/>
  <c r="H80" i="1" s="1"/>
  <c r="M79" i="1" s="1"/>
  <c r="G81" i="1"/>
  <c r="H81" i="1" s="1"/>
  <c r="M80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M86" i="1" s="1"/>
  <c r="G88" i="1"/>
  <c r="H88" i="1" s="1"/>
  <c r="M87" i="1" s="1"/>
  <c r="G89" i="1"/>
  <c r="H89" i="1" s="1"/>
  <c r="M88" i="1" s="1"/>
  <c r="G90" i="1"/>
  <c r="H90" i="1" s="1"/>
  <c r="G91" i="1"/>
  <c r="H91" i="1" s="1"/>
  <c r="M90" i="1" s="1"/>
  <c r="G92" i="1"/>
  <c r="H92" i="1" s="1"/>
  <c r="G93" i="1"/>
  <c r="H93" i="1" s="1"/>
  <c r="M92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M98" i="1" s="1"/>
  <c r="G100" i="1"/>
  <c r="H100" i="1" s="1"/>
  <c r="M99" i="1" s="1"/>
  <c r="G101" i="1"/>
  <c r="H101" i="1" s="1"/>
  <c r="M100" i="1" s="1"/>
  <c r="G102" i="1"/>
  <c r="H102" i="1" s="1"/>
  <c r="M101" i="1" s="1"/>
  <c r="G103" i="1"/>
  <c r="H103" i="1" s="1"/>
  <c r="M102" i="1" s="1"/>
  <c r="G104" i="1"/>
  <c r="H104" i="1" s="1"/>
  <c r="M103" i="1" s="1"/>
  <c r="G105" i="1"/>
  <c r="H105" i="1" s="1"/>
  <c r="M104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M110" i="1" s="1"/>
  <c r="G112" i="1"/>
  <c r="H112" i="1" s="1"/>
  <c r="G40" i="1"/>
  <c r="H40" i="1" s="1"/>
  <c r="M39" i="1" s="1"/>
  <c r="G41" i="1"/>
  <c r="H41" i="1" s="1"/>
  <c r="G42" i="1"/>
  <c r="H42" i="1" s="1"/>
  <c r="M41" i="1" s="1"/>
  <c r="G43" i="1"/>
  <c r="H43" i="1" s="1"/>
  <c r="M42" i="1" s="1"/>
  <c r="G44" i="1"/>
  <c r="H44" i="1" s="1"/>
  <c r="M43" i="1" s="1"/>
  <c r="G45" i="1"/>
  <c r="H45" i="1" s="1"/>
  <c r="G46" i="1"/>
  <c r="H46" i="1" s="1"/>
  <c r="M45" i="1" s="1"/>
  <c r="G47" i="1"/>
  <c r="H47" i="1" s="1"/>
  <c r="G48" i="1"/>
  <c r="H48" i="1" s="1"/>
  <c r="G49" i="1"/>
  <c r="H49" i="1" s="1"/>
  <c r="G50" i="1"/>
  <c r="H50" i="1" s="1"/>
  <c r="M49" i="1" s="1"/>
  <c r="G51" i="1"/>
  <c r="H51" i="1" s="1"/>
  <c r="M50" i="1" s="1"/>
  <c r="G52" i="1"/>
  <c r="H52" i="1" s="1"/>
  <c r="M51" i="1" s="1"/>
  <c r="G53" i="1"/>
  <c r="H53" i="1" s="1"/>
  <c r="M52" i="1" s="1"/>
  <c r="G54" i="1"/>
  <c r="H54" i="1" s="1"/>
  <c r="M53" i="1" s="1"/>
  <c r="G55" i="1"/>
  <c r="H55" i="1" s="1"/>
  <c r="M54" i="1" s="1"/>
  <c r="G56" i="1"/>
  <c r="H56" i="1" s="1"/>
  <c r="M55" i="1" s="1"/>
  <c r="G57" i="1"/>
  <c r="H57" i="1" s="1"/>
  <c r="G20" i="1"/>
  <c r="H20" i="1" s="1"/>
  <c r="G21" i="1"/>
  <c r="H21" i="1" s="1"/>
  <c r="G22" i="1"/>
  <c r="H22" i="1" s="1"/>
  <c r="G23" i="1"/>
  <c r="H23" i="1" s="1"/>
  <c r="G24" i="1"/>
  <c r="H24" i="1" s="1"/>
  <c r="M23" i="1" s="1"/>
  <c r="G25" i="1"/>
  <c r="H25" i="1" s="1"/>
  <c r="M24" i="1" s="1"/>
  <c r="G26" i="1"/>
  <c r="H26" i="1" s="1"/>
  <c r="M25" i="1" s="1"/>
  <c r="G27" i="1"/>
  <c r="H27" i="1" s="1"/>
  <c r="G28" i="1"/>
  <c r="H28" i="1" s="1"/>
  <c r="M27" i="1" s="1"/>
  <c r="G29" i="1"/>
  <c r="H29" i="1" s="1"/>
  <c r="M28" i="1" s="1"/>
  <c r="G30" i="1"/>
  <c r="H30" i="1" s="1"/>
  <c r="M29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M35" i="1" s="1"/>
  <c r="G37" i="1"/>
  <c r="H37" i="1" s="1"/>
  <c r="M36" i="1" s="1"/>
  <c r="G38" i="1"/>
  <c r="H38" i="1" s="1"/>
  <c r="M37" i="1" s="1"/>
  <c r="G39" i="1"/>
  <c r="H39" i="1" s="1"/>
  <c r="M38" i="1" s="1"/>
  <c r="G3" i="1"/>
  <c r="H3" i="1" s="1"/>
  <c r="G4" i="1"/>
  <c r="H4" i="1" s="1"/>
  <c r="M3" i="1" s="1"/>
  <c r="G5" i="1"/>
  <c r="H5" i="1" s="1"/>
  <c r="M4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M10" i="1" s="1"/>
  <c r="G12" i="1"/>
  <c r="H12" i="1" s="1"/>
  <c r="M11" i="1" s="1"/>
  <c r="G13" i="1"/>
  <c r="H13" i="1" s="1"/>
  <c r="M12" i="1" s="1"/>
  <c r="G14" i="1"/>
  <c r="H14" i="1" s="1"/>
  <c r="G15" i="1"/>
  <c r="H15" i="1" s="1"/>
  <c r="M14" i="1" s="1"/>
  <c r="G16" i="1"/>
  <c r="H16" i="1" s="1"/>
  <c r="M15" i="1" s="1"/>
  <c r="G17" i="1"/>
  <c r="H17" i="1" s="1"/>
  <c r="M16" i="1" s="1"/>
  <c r="G18" i="1"/>
  <c r="H18" i="1" s="1"/>
  <c r="G19" i="1"/>
  <c r="H19" i="1" s="1"/>
  <c r="G2" i="1"/>
  <c r="H2" i="1" s="1"/>
  <c r="I2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3" i="1"/>
  <c r="F4" i="1"/>
  <c r="F5" i="1"/>
  <c r="F6" i="1"/>
  <c r="F7" i="1"/>
  <c r="F2" i="1"/>
  <c r="E11" i="1"/>
  <c r="J11" i="1" s="1"/>
  <c r="E12" i="1"/>
  <c r="J12" i="1" s="1"/>
  <c r="E13" i="1"/>
  <c r="J13" i="1" s="1"/>
  <c r="E14" i="1"/>
  <c r="J14" i="1" s="1"/>
  <c r="E15" i="1"/>
  <c r="K15" i="1" s="1"/>
  <c r="E16" i="1"/>
  <c r="J16" i="1" s="1"/>
  <c r="E17" i="1"/>
  <c r="J17" i="1" s="1"/>
  <c r="E18" i="1"/>
  <c r="K18" i="1" s="1"/>
  <c r="E19" i="1"/>
  <c r="K19" i="1" s="1"/>
  <c r="E20" i="1"/>
  <c r="K20" i="1" s="1"/>
  <c r="E21" i="1"/>
  <c r="K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K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K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K39" i="1" s="1"/>
  <c r="E40" i="1"/>
  <c r="J40" i="1" s="1"/>
  <c r="E41" i="1"/>
  <c r="J41" i="1" s="1"/>
  <c r="E42" i="1"/>
  <c r="J42" i="1" s="1"/>
  <c r="E43" i="1"/>
  <c r="J43" i="1" s="1"/>
  <c r="E44" i="1"/>
  <c r="K44" i="1" s="1"/>
  <c r="E45" i="1"/>
  <c r="K45" i="1" s="1"/>
  <c r="E46" i="1"/>
  <c r="J46" i="1" s="1"/>
  <c r="E47" i="1"/>
  <c r="J47" i="1" s="1"/>
  <c r="E48" i="1"/>
  <c r="J48" i="1" s="1"/>
  <c r="E49" i="1"/>
  <c r="J49" i="1" s="1"/>
  <c r="E50" i="1"/>
  <c r="J50" i="1" s="1"/>
  <c r="E51" i="1"/>
  <c r="K51" i="1" s="1"/>
  <c r="E52" i="1"/>
  <c r="J52" i="1" s="1"/>
  <c r="E53" i="1"/>
  <c r="J53" i="1" s="1"/>
  <c r="E54" i="1"/>
  <c r="K54" i="1" s="1"/>
  <c r="E55" i="1"/>
  <c r="K55" i="1" s="1"/>
  <c r="E56" i="1"/>
  <c r="J56" i="1" s="1"/>
  <c r="E57" i="1"/>
  <c r="K57" i="1" s="1"/>
  <c r="E58" i="1"/>
  <c r="J58" i="1" s="1"/>
  <c r="E59" i="1"/>
  <c r="J59" i="1" s="1"/>
  <c r="E60" i="1"/>
  <c r="J60" i="1" s="1"/>
  <c r="E61" i="1"/>
  <c r="J61" i="1" s="1"/>
  <c r="E62" i="1"/>
  <c r="J62" i="1" s="1"/>
  <c r="E63" i="1"/>
  <c r="K63" i="1" s="1"/>
  <c r="E64" i="1"/>
  <c r="J64" i="1" s="1"/>
  <c r="E65" i="1"/>
  <c r="J65" i="1" s="1"/>
  <c r="E66" i="1"/>
  <c r="K66" i="1" s="1"/>
  <c r="E67" i="1"/>
  <c r="K67" i="1" s="1"/>
  <c r="E68" i="1"/>
  <c r="K68" i="1" s="1"/>
  <c r="E69" i="1"/>
  <c r="K69" i="1" s="1"/>
  <c r="E70" i="1"/>
  <c r="J70" i="1" s="1"/>
  <c r="E71" i="1"/>
  <c r="J71" i="1" s="1"/>
  <c r="E72" i="1"/>
  <c r="J72" i="1" s="1"/>
  <c r="E73" i="1"/>
  <c r="J73" i="1" s="1"/>
  <c r="E74" i="1"/>
  <c r="J74" i="1" s="1"/>
  <c r="E75" i="1"/>
  <c r="K75" i="1" s="1"/>
  <c r="E76" i="1"/>
  <c r="J76" i="1" s="1"/>
  <c r="E77" i="1"/>
  <c r="J77" i="1" s="1"/>
  <c r="E78" i="1"/>
  <c r="J78" i="1" s="1"/>
  <c r="E79" i="1"/>
  <c r="J79" i="1" s="1"/>
  <c r="E80" i="1"/>
  <c r="J80" i="1" s="1"/>
  <c r="E81" i="1"/>
  <c r="K81" i="1" s="1"/>
  <c r="E82" i="1"/>
  <c r="J82" i="1" s="1"/>
  <c r="E83" i="1"/>
  <c r="J83" i="1" s="1"/>
  <c r="E84" i="1"/>
  <c r="J84" i="1" s="1"/>
  <c r="E85" i="1"/>
  <c r="J85" i="1" s="1"/>
  <c r="E86" i="1"/>
  <c r="J86" i="1" s="1"/>
  <c r="E87" i="1"/>
  <c r="K87" i="1" s="1"/>
  <c r="E88" i="1"/>
  <c r="J88" i="1" s="1"/>
  <c r="E89" i="1"/>
  <c r="J89" i="1" s="1"/>
  <c r="E90" i="1"/>
  <c r="J90" i="1" s="1"/>
  <c r="E91" i="1"/>
  <c r="K91" i="1" s="1"/>
  <c r="E92" i="1"/>
  <c r="J92" i="1" s="1"/>
  <c r="E93" i="1"/>
  <c r="K93" i="1" s="1"/>
  <c r="E94" i="1"/>
  <c r="J94" i="1" s="1"/>
  <c r="E95" i="1"/>
  <c r="J95" i="1" s="1"/>
  <c r="E96" i="1"/>
  <c r="J96" i="1" s="1"/>
  <c r="E97" i="1"/>
  <c r="J97" i="1" s="1"/>
  <c r="E98" i="1"/>
  <c r="J98" i="1" s="1"/>
  <c r="E99" i="1"/>
  <c r="K99" i="1" s="1"/>
  <c r="E100" i="1"/>
  <c r="J100" i="1" s="1"/>
  <c r="E101" i="1"/>
  <c r="J101" i="1" s="1"/>
  <c r="E102" i="1"/>
  <c r="J102" i="1" s="1"/>
  <c r="E103" i="1"/>
  <c r="K103" i="1" s="1"/>
  <c r="E104" i="1"/>
  <c r="K104" i="1" s="1"/>
  <c r="E105" i="1"/>
  <c r="K105" i="1" s="1"/>
  <c r="E106" i="1"/>
  <c r="J106" i="1" s="1"/>
  <c r="E107" i="1"/>
  <c r="J107" i="1" s="1"/>
  <c r="E108" i="1"/>
  <c r="J108" i="1" s="1"/>
  <c r="E109" i="1"/>
  <c r="J109" i="1" s="1"/>
  <c r="E110" i="1"/>
  <c r="J110" i="1" s="1"/>
  <c r="E111" i="1"/>
  <c r="K111" i="1" s="1"/>
  <c r="E112" i="1"/>
  <c r="J112" i="1" s="1"/>
  <c r="E3" i="1"/>
  <c r="J3" i="1" s="1"/>
  <c r="E4" i="1"/>
  <c r="K4" i="1" s="1"/>
  <c r="E5" i="1"/>
  <c r="J5" i="1" s="1"/>
  <c r="E6" i="1"/>
  <c r="J6" i="1" s="1"/>
  <c r="E7" i="1"/>
  <c r="K7" i="1" s="1"/>
  <c r="E8" i="1"/>
  <c r="K8" i="1" s="1"/>
  <c r="E9" i="1"/>
  <c r="K9" i="1" s="1"/>
  <c r="E10" i="1"/>
  <c r="J10" i="1" s="1"/>
  <c r="E2" i="1"/>
  <c r="K2" i="1" s="1"/>
  <c r="P1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2" i="1"/>
  <c r="I73" i="1" l="1"/>
  <c r="M72" i="1"/>
  <c r="I33" i="1"/>
  <c r="M32" i="1"/>
  <c r="M111" i="1"/>
  <c r="M112" i="1"/>
  <c r="I96" i="1"/>
  <c r="M95" i="1"/>
  <c r="I71" i="1"/>
  <c r="M70" i="1"/>
  <c r="I86" i="1"/>
  <c r="M85" i="1"/>
  <c r="I70" i="1"/>
  <c r="M69" i="1"/>
  <c r="I4" i="1"/>
  <c r="I9" i="1"/>
  <c r="M8" i="1"/>
  <c r="I109" i="1"/>
  <c r="M108" i="1"/>
  <c r="I29" i="1"/>
  <c r="I21" i="1"/>
  <c r="M20" i="1"/>
  <c r="I108" i="1"/>
  <c r="M107" i="1"/>
  <c r="I92" i="1"/>
  <c r="M91" i="1"/>
  <c r="I84" i="1"/>
  <c r="M83" i="1"/>
  <c r="I68" i="1"/>
  <c r="M67" i="1"/>
  <c r="J27" i="1"/>
  <c r="I7" i="1"/>
  <c r="M6" i="1"/>
  <c r="I20" i="1"/>
  <c r="M19" i="1"/>
  <c r="I107" i="1"/>
  <c r="M106" i="1"/>
  <c r="I83" i="1"/>
  <c r="M82" i="1"/>
  <c r="I59" i="1"/>
  <c r="M58" i="1"/>
  <c r="J15" i="1"/>
  <c r="I34" i="1"/>
  <c r="M33" i="1"/>
  <c r="I48" i="1"/>
  <c r="M47" i="1"/>
  <c r="I97" i="1"/>
  <c r="M96" i="1"/>
  <c r="I47" i="1"/>
  <c r="M46" i="1"/>
  <c r="I72" i="1"/>
  <c r="M71" i="1"/>
  <c r="I19" i="1"/>
  <c r="M18" i="1"/>
  <c r="I32" i="1"/>
  <c r="M31" i="1"/>
  <c r="I95" i="1"/>
  <c r="M94" i="1"/>
  <c r="I18" i="1"/>
  <c r="M17" i="1"/>
  <c r="I10" i="1"/>
  <c r="M9" i="1"/>
  <c r="I31" i="1"/>
  <c r="M30" i="1"/>
  <c r="I23" i="1"/>
  <c r="M22" i="1"/>
  <c r="I45" i="1"/>
  <c r="M44" i="1"/>
  <c r="I110" i="1"/>
  <c r="M109" i="1"/>
  <c r="I94" i="1"/>
  <c r="M93" i="1"/>
  <c r="I62" i="1"/>
  <c r="M61" i="1"/>
  <c r="I22" i="1"/>
  <c r="M21" i="1"/>
  <c r="I85" i="1"/>
  <c r="M84" i="1"/>
  <c r="I61" i="1"/>
  <c r="M60" i="1"/>
  <c r="I8" i="1"/>
  <c r="M7" i="1"/>
  <c r="I60" i="1"/>
  <c r="M59" i="1"/>
  <c r="M13" i="1"/>
  <c r="I6" i="1"/>
  <c r="M5" i="1"/>
  <c r="I35" i="1"/>
  <c r="M34" i="1"/>
  <c r="M26" i="1"/>
  <c r="I57" i="1"/>
  <c r="M56" i="1"/>
  <c r="I49" i="1"/>
  <c r="M48" i="1"/>
  <c r="M40" i="1"/>
  <c r="I106" i="1"/>
  <c r="M105" i="1"/>
  <c r="I98" i="1"/>
  <c r="M97" i="1"/>
  <c r="M89" i="1"/>
  <c r="I82" i="1"/>
  <c r="M81" i="1"/>
  <c r="I74" i="1"/>
  <c r="M73" i="1"/>
  <c r="M65" i="1"/>
  <c r="I58" i="1"/>
  <c r="M57" i="1"/>
  <c r="P14" i="1"/>
  <c r="I15" i="1"/>
  <c r="I42" i="1"/>
  <c r="J87" i="1"/>
  <c r="J75" i="1"/>
  <c r="K43" i="1"/>
  <c r="K42" i="1"/>
  <c r="J55" i="1"/>
  <c r="J54" i="1"/>
  <c r="K102" i="1"/>
  <c r="I56" i="1"/>
  <c r="J4" i="1"/>
  <c r="J111" i="1"/>
  <c r="I11" i="1"/>
  <c r="I36" i="1"/>
  <c r="I24" i="1"/>
  <c r="I50" i="1"/>
  <c r="I111" i="1"/>
  <c r="I99" i="1"/>
  <c r="J51" i="1"/>
  <c r="J19" i="1"/>
  <c r="K80" i="1"/>
  <c r="I5" i="1"/>
  <c r="I105" i="1"/>
  <c r="I93" i="1"/>
  <c r="I81" i="1"/>
  <c r="I69" i="1"/>
  <c r="I67" i="1"/>
  <c r="J69" i="1"/>
  <c r="K79" i="1"/>
  <c r="K30" i="1"/>
  <c r="I16" i="1"/>
  <c r="I43" i="1"/>
  <c r="I104" i="1"/>
  <c r="I80" i="1"/>
  <c r="J99" i="1"/>
  <c r="J68" i="1"/>
  <c r="K78" i="1"/>
  <c r="K92" i="1"/>
  <c r="K32" i="1"/>
  <c r="J18" i="1"/>
  <c r="I30" i="1"/>
  <c r="I3" i="1"/>
  <c r="I28" i="1"/>
  <c r="I54" i="1"/>
  <c r="I103" i="1"/>
  <c r="I91" i="1"/>
  <c r="I79" i="1"/>
  <c r="J93" i="1"/>
  <c r="J67" i="1"/>
  <c r="J39" i="1"/>
  <c r="K6" i="1"/>
  <c r="D114" i="1"/>
  <c r="P7" i="1" s="1"/>
  <c r="K90" i="1"/>
  <c r="J103" i="1"/>
  <c r="J44" i="1"/>
  <c r="I14" i="1"/>
  <c r="I39" i="1"/>
  <c r="I27" i="1"/>
  <c r="I53" i="1"/>
  <c r="I41" i="1"/>
  <c r="I102" i="1"/>
  <c r="I90" i="1"/>
  <c r="I78" i="1"/>
  <c r="I66" i="1"/>
  <c r="I52" i="1"/>
  <c r="J66" i="1"/>
  <c r="J33" i="1"/>
  <c r="K5" i="1"/>
  <c r="J21" i="1"/>
  <c r="J20" i="1"/>
  <c r="J45" i="1"/>
  <c r="K31" i="1"/>
  <c r="I17" i="1"/>
  <c r="I44" i="1"/>
  <c r="I26" i="1"/>
  <c r="I13" i="1"/>
  <c r="I38" i="1"/>
  <c r="I40" i="1"/>
  <c r="I101" i="1"/>
  <c r="I89" i="1"/>
  <c r="I77" i="1"/>
  <c r="I65" i="1"/>
  <c r="J91" i="1"/>
  <c r="J63" i="1"/>
  <c r="J81" i="1"/>
  <c r="J105" i="1"/>
  <c r="J104" i="1"/>
  <c r="I12" i="1"/>
  <c r="I37" i="1"/>
  <c r="I25" i="1"/>
  <c r="I51" i="1"/>
  <c r="I112" i="1"/>
  <c r="I100" i="1"/>
  <c r="I88" i="1"/>
  <c r="I76" i="1"/>
  <c r="I64" i="1"/>
  <c r="J57" i="1"/>
  <c r="K56" i="1"/>
  <c r="I87" i="1"/>
  <c r="I75" i="1"/>
  <c r="I63" i="1"/>
  <c r="J9" i="1"/>
  <c r="J2" i="1"/>
  <c r="J7" i="1"/>
  <c r="K3" i="1"/>
  <c r="K101" i="1"/>
  <c r="K89" i="1"/>
  <c r="K77" i="1"/>
  <c r="K65" i="1"/>
  <c r="K53" i="1"/>
  <c r="K41" i="1"/>
  <c r="K29" i="1"/>
  <c r="K17" i="1"/>
  <c r="J8" i="1"/>
  <c r="K16" i="1"/>
  <c r="I46" i="1"/>
  <c r="I55" i="1"/>
  <c r="K112" i="1"/>
  <c r="K100" i="1"/>
  <c r="K88" i="1"/>
  <c r="K76" i="1"/>
  <c r="K64" i="1"/>
  <c r="K52" i="1"/>
  <c r="K40" i="1"/>
  <c r="K28" i="1"/>
  <c r="Y19" i="1"/>
  <c r="K110" i="1"/>
  <c r="K98" i="1"/>
  <c r="K86" i="1"/>
  <c r="K74" i="1"/>
  <c r="K62" i="1"/>
  <c r="K50" i="1"/>
  <c r="K38" i="1"/>
  <c r="K26" i="1"/>
  <c r="K14" i="1"/>
  <c r="K13" i="1"/>
  <c r="K12" i="1"/>
  <c r="K109" i="1"/>
  <c r="K97" i="1"/>
  <c r="K85" i="1"/>
  <c r="K73" i="1"/>
  <c r="K61" i="1"/>
  <c r="K49" i="1"/>
  <c r="K37" i="1"/>
  <c r="K25" i="1"/>
  <c r="K108" i="1"/>
  <c r="K96" i="1"/>
  <c r="K84" i="1"/>
  <c r="K72" i="1"/>
  <c r="K60" i="1"/>
  <c r="K48" i="1"/>
  <c r="K36" i="1"/>
  <c r="K24" i="1"/>
  <c r="K107" i="1"/>
  <c r="K95" i="1"/>
  <c r="K83" i="1"/>
  <c r="K71" i="1"/>
  <c r="K59" i="1"/>
  <c r="K47" i="1"/>
  <c r="K35" i="1"/>
  <c r="K23" i="1"/>
  <c r="K11" i="1"/>
  <c r="K106" i="1"/>
  <c r="K94" i="1"/>
  <c r="K82" i="1"/>
  <c r="K70" i="1"/>
  <c r="K58" i="1"/>
  <c r="K46" i="1"/>
  <c r="K34" i="1"/>
  <c r="K22" i="1"/>
  <c r="K10" i="1"/>
  <c r="P16" i="1" l="1"/>
</calcChain>
</file>

<file path=xl/sharedStrings.xml><?xml version="1.0" encoding="utf-8"?>
<sst xmlns="http://schemas.openxmlformats.org/spreadsheetml/2006/main" count="55" uniqueCount="48">
  <si>
    <t>Time Interval (days)</t>
  </si>
  <si>
    <t>Faults</t>
  </si>
  <si>
    <t>Cumulative Faults</t>
  </si>
  <si>
    <t>me</t>
  </si>
  <si>
    <t>te</t>
  </si>
  <si>
    <t>Sum of ttf</t>
  </si>
  <si>
    <t>beta2</t>
  </si>
  <si>
    <t>beta1</t>
  </si>
  <si>
    <t>sum</t>
  </si>
  <si>
    <t>a</t>
  </si>
  <si>
    <t>b</t>
  </si>
  <si>
    <t>tested for(days)</t>
  </si>
  <si>
    <t>c1</t>
  </si>
  <si>
    <t>c2</t>
  </si>
  <si>
    <t>c3</t>
  </si>
  <si>
    <t>m(111)</t>
  </si>
  <si>
    <t>Remaining faults</t>
  </si>
  <si>
    <t>cost(111)</t>
  </si>
  <si>
    <t>sum of ti</t>
  </si>
  <si>
    <t>m(t)</t>
  </si>
  <si>
    <t>λ(t)</t>
  </si>
  <si>
    <t>R(ti/111)</t>
  </si>
  <si>
    <t xml:space="preserve"> </t>
  </si>
  <si>
    <t>a*b</t>
  </si>
  <si>
    <t>c3/(c2-c1)</t>
  </si>
  <si>
    <t>a*b     &gt;    c3/(c2-c1)</t>
  </si>
  <si>
    <t>ti</t>
  </si>
  <si>
    <t>u(t)</t>
  </si>
  <si>
    <t>let, c3</t>
  </si>
  <si>
    <t>ab</t>
  </si>
  <si>
    <t>ab&lt;25</t>
  </si>
  <si>
    <t>optimal release time is T* = 0 weeks as the cost function is always increasing</t>
  </si>
  <si>
    <t>we have obtained a first decreasing and then increasing cost function</t>
  </si>
  <si>
    <t>cost($10,$50,$1000)</t>
  </si>
  <si>
    <t>T*</t>
  </si>
  <si>
    <t>days</t>
  </si>
  <si>
    <t>let,Reliability &gt;=</t>
  </si>
  <si>
    <t>Rel</t>
  </si>
  <si>
    <t>c1($)</t>
  </si>
  <si>
    <t>c2($)</t>
  </si>
  <si>
    <t>c3($)</t>
  </si>
  <si>
    <t>m(T*)</t>
  </si>
  <si>
    <t>budget($)</t>
  </si>
  <si>
    <t>Optimal Release Time</t>
  </si>
  <si>
    <t>R(T*)</t>
  </si>
  <si>
    <t>M(INFI)</t>
  </si>
  <si>
    <t xml:space="preserve">REL </t>
  </si>
  <si>
    <t>cost($10,$50,$200)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</si>
</sst>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8" fontId="0" fillId="2" borderId="1" xfId="0" applyNumberFormat="1" applyFill="1" applyBorder="1"/>
    <xf numFmtId="0" fontId="0" fillId="2" borderId="1" xfId="0" applyFill="1" applyBorder="1"/>
    <xf numFmtId="8" fontId="0" fillId="6" borderId="1" xfId="0" applyNumberFormat="1" applyFill="1" applyBorder="1"/>
    <xf numFmtId="0" fontId="0" fillId="6" borderId="1" xfId="0" applyFill="1" applyBorder="1"/>
    <xf numFmtId="0" fontId="0" fillId="4" borderId="1" xfId="0" applyFill="1" applyBorder="1"/>
    <xf numFmtId="6" fontId="0" fillId="4" borderId="1" xfId="0" applyNumberFormat="1" applyFill="1" applyBorder="1"/>
    <xf numFmtId="8" fontId="0" fillId="4" borderId="1" xfId="0" applyNumberFormat="1" applyFill="1" applyBorder="1"/>
    <xf numFmtId="0" fontId="0" fillId="7" borderId="0" xfId="0" applyFill="1"/>
    <xf numFmtId="0" fontId="2" fillId="3" borderId="1" xfId="0" applyFont="1" applyFill="1" applyBorder="1"/>
    <xf numFmtId="0" fontId="0" fillId="7" borderId="1" xfId="0" applyFill="1" applyBorder="1"/>
    <xf numFmtId="6" fontId="0" fillId="7" borderId="1" xfId="0" applyNumberFormat="1" applyFill="1" applyBorder="1"/>
    <xf numFmtId="0" fontId="0" fillId="8" borderId="1" xfId="0" applyFill="1" applyBorder="1"/>
    <xf numFmtId="6" fontId="0" fillId="8" borderId="1" xfId="0" applyNumberFormat="1" applyFill="1" applyBorder="1"/>
    <xf numFmtId="0" fontId="0" fillId="9" borderId="1" xfId="0" applyFill="1" applyBorder="1"/>
    <xf numFmtId="6" fontId="0" fillId="9" borderId="1" xfId="0" applyNumberFormat="1" applyFill="1" applyBorder="1"/>
    <xf numFmtId="0" fontId="0" fillId="9" borderId="0" xfId="0" applyFill="1"/>
    <xf numFmtId="6" fontId="0" fillId="9" borderId="0" xfId="0" applyNumberFormat="1" applyFill="1"/>
    <xf numFmtId="0" fontId="0" fillId="0" borderId="1" xfId="0" applyBorder="1"/>
    <xf numFmtId="0" fontId="0" fillId="5" borderId="1" xfId="0" applyFill="1" applyBorder="1"/>
    <xf numFmtId="0" fontId="1" fillId="7" borderId="0" xfId="0" applyFont="1" applyFill="1"/>
    <xf numFmtId="0" fontId="1" fillId="7" borderId="1" xfId="0" applyFont="1" applyFill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1" fillId="10" borderId="1" xfId="0" applyFont="1" applyFill="1" applyBorder="1"/>
    <xf numFmtId="0" fontId="0" fillId="10" borderId="1" xfId="0" applyFill="1" applyBorder="1"/>
    <xf numFmtId="0" fontId="0" fillId="0" borderId="2" xfId="0" applyFill="1" applyBorder="1"/>
    <xf numFmtId="0" fontId="0" fillId="0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R(ti/111) vs</a:t>
            </a:r>
            <a:r>
              <a:rPr lang="en-US" baseline="0"/>
              <a:t> Time interval(days) before testing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174353887357215E-2"/>
          <c:y val="0.14346926026097132"/>
          <c:w val="0.88380763226715298"/>
          <c:h val="0.699695673655235"/>
        </c:manualLayout>
      </c:layout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R(ti/111)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Sheet1!$A$1:$A$112</c15:sqref>
                  </c15:fullRef>
                </c:ext>
              </c:extLst>
              <c:f>Sheet1!$A$2:$A$112</c:f>
              <c:strCache>
                <c:ptCount val="1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Sheet1!$I$2:$I$112</c15:sqref>
                  </c15:fullRef>
                </c:ext>
              </c:extLst>
              <c:f>Sheet1!$I$3:$I$112</c:f>
              <c:numCache>
                <c:formatCode>General</c:formatCode>
                <c:ptCount val="110"/>
                <c:pt idx="0">
                  <c:v>0.35345206966704762</c:v>
                </c:pt>
                <c:pt idx="1">
                  <c:v>0.21500902992867546</c:v>
                </c:pt>
                <c:pt idx="2">
                  <c:v>0.1327279755934771</c:v>
                </c:pt>
                <c:pt idx="3">
                  <c:v>8.3111153199122739E-2</c:v>
                </c:pt>
                <c:pt idx="4">
                  <c:v>5.2767224611333666E-2</c:v>
                </c:pt>
                <c:pt idx="5">
                  <c:v>3.3954688292302582E-2</c:v>
                </c:pt>
                <c:pt idx="6">
                  <c:v>2.213571162385259E-2</c:v>
                </c:pt>
                <c:pt idx="7">
                  <c:v>1.4614308083381889E-2</c:v>
                </c:pt>
                <c:pt idx="8">
                  <c:v>9.7676881349675546E-3</c:v>
                </c:pt>
                <c:pt idx="9">
                  <c:v>6.6065783515084006E-3</c:v>
                </c:pt>
                <c:pt idx="10">
                  <c:v>4.5204310522861035E-3</c:v>
                </c:pt>
                <c:pt idx="11">
                  <c:v>3.1279028531740823E-3</c:v>
                </c:pt>
                <c:pt idx="12">
                  <c:v>2.1880280493343351E-3</c:v>
                </c:pt>
                <c:pt idx="13">
                  <c:v>1.5468174571903E-3</c:v>
                </c:pt>
                <c:pt idx="14">
                  <c:v>1.1047811396264957E-3</c:v>
                </c:pt>
                <c:pt idx="15">
                  <c:v>7.9695336206666906E-4</c:v>
                </c:pt>
                <c:pt idx="16">
                  <c:v>5.8047214029953648E-4</c:v>
                </c:pt>
                <c:pt idx="17">
                  <c:v>4.2677384307760694E-4</c:v>
                </c:pt>
                <c:pt idx="18">
                  <c:v>3.1663719434568227E-4</c:v>
                </c:pt>
                <c:pt idx="19">
                  <c:v>2.3700478853972047E-4</c:v>
                </c:pt>
                <c:pt idx="20">
                  <c:v>1.7892464029830755E-4</c:v>
                </c:pt>
                <c:pt idx="21">
                  <c:v>1.3620440505767622E-4</c:v>
                </c:pt>
                <c:pt idx="22">
                  <c:v>1.045233928797672E-4</c:v>
                </c:pt>
                <c:pt idx="23">
                  <c:v>8.0841379334150795E-5</c:v>
                </c:pt>
                <c:pt idx="24">
                  <c:v>6.3001572127549481E-5</c:v>
                </c:pt>
                <c:pt idx="25">
                  <c:v>4.9461703147080823E-5</c:v>
                </c:pt>
                <c:pt idx="26">
                  <c:v>3.9110393553757003E-5</c:v>
                </c:pt>
                <c:pt idx="27">
                  <c:v>3.1140743118236342E-5</c:v>
                </c:pt>
                <c:pt idx="28">
                  <c:v>2.4962631350753184E-5</c:v>
                </c:pt>
                <c:pt idx="29">
                  <c:v>2.0141412784396676E-5</c:v>
                </c:pt>
                <c:pt idx="30">
                  <c:v>1.6354745789184701E-5</c:v>
                </c:pt>
                <c:pt idx="31">
                  <c:v>1.3361972404964053E-5</c:v>
                </c:pt>
                <c:pt idx="32">
                  <c:v>1.0982248253231732E-5</c:v>
                </c:pt>
                <c:pt idx="33">
                  <c:v>9.078815701106751E-6</c:v>
                </c:pt>
                <c:pt idx="34">
                  <c:v>7.5476197026997094E-6</c:v>
                </c:pt>
                <c:pt idx="35">
                  <c:v>6.3090140181797632E-6</c:v>
                </c:pt>
                <c:pt idx="36">
                  <c:v>5.3016809584218429E-6</c:v>
                </c:pt>
                <c:pt idx="37">
                  <c:v>4.4781466524939436E-6</c:v>
                </c:pt>
                <c:pt idx="38">
                  <c:v>3.8014534812323988E-6</c:v>
                </c:pt>
                <c:pt idx="39">
                  <c:v>3.2426768041755129E-6</c:v>
                </c:pt>
                <c:pt idx="40">
                  <c:v>2.7790613114963958E-6</c:v>
                </c:pt>
                <c:pt idx="41">
                  <c:v>2.3926147138840441E-6</c:v>
                </c:pt>
                <c:pt idx="42">
                  <c:v>2.0690408662223892E-6</c:v>
                </c:pt>
                <c:pt idx="43">
                  <c:v>1.7969261830833916E-6</c:v>
                </c:pt>
                <c:pt idx="44">
                  <c:v>1.5671160639724429E-6</c:v>
                </c:pt>
                <c:pt idx="45">
                  <c:v>1.3722345906538496E-6</c:v>
                </c:pt>
                <c:pt idx="46">
                  <c:v>1.2063127975324916E-6</c:v>
                </c:pt>
                <c:pt idx="47">
                  <c:v>1.0644996225170501E-6</c:v>
                </c:pt>
                <c:pt idx="48">
                  <c:v>9.4283612113223492E-7</c:v>
                </c:pt>
                <c:pt idx="49">
                  <c:v>8.3807831197741489E-7</c:v>
                </c:pt>
                <c:pt idx="50">
                  <c:v>7.4755757543926726E-7</c:v>
                </c:pt>
                <c:pt idx="51">
                  <c:v>6.690701794883324E-7</c:v>
                </c:pt>
                <c:pt idx="52">
                  <c:v>6.0078949459487181E-7</c:v>
                </c:pt>
                <c:pt idx="53">
                  <c:v>5.4119595723434157E-7</c:v>
                </c:pt>
                <c:pt idx="54">
                  <c:v>4.8902097431321855E-7</c:v>
                </c:pt>
                <c:pt idx="55">
                  <c:v>4.4320182163469845E-7</c:v>
                </c:pt>
                <c:pt idx="56">
                  <c:v>4.0284524638295852E-7</c:v>
                </c:pt>
                <c:pt idx="57">
                  <c:v>3.6719798693345488E-7</c:v>
                </c:pt>
                <c:pt idx="58">
                  <c:v>3.3562281055704292E-7</c:v>
                </c:pt>
                <c:pt idx="59">
                  <c:v>3.0757896872668176E-7</c:v>
                </c:pt>
                <c:pt idx="60">
                  <c:v>2.8260620171168979E-7</c:v>
                </c:pt>
                <c:pt idx="61">
                  <c:v>2.6031160471671929E-7</c:v>
                </c:pt>
                <c:pt idx="62">
                  <c:v>2.4035880890766148E-7</c:v>
                </c:pt>
                <c:pt idx="63">
                  <c:v>2.224590412992301E-7</c:v>
                </c:pt>
                <c:pt idx="64">
                  <c:v>2.0636371453927819E-7</c:v>
                </c:pt>
                <c:pt idx="65">
                  <c:v>1.9185826637644596E-7</c:v>
                </c:pt>
                <c:pt idx="66">
                  <c:v>1.7875702307236541E-7</c:v>
                </c:pt>
                <c:pt idx="67">
                  <c:v>1.6689890432849591E-7</c:v>
                </c:pt>
                <c:pt idx="68">
                  <c:v>1.5614382183895338E-7</c:v>
                </c:pt>
                <c:pt idx="69">
                  <c:v>1.4636965121895377E-7</c:v>
                </c:pt>
                <c:pt idx="70">
                  <c:v>1.3746967924136667E-7</c:v>
                </c:pt>
                <c:pt idx="71">
                  <c:v>1.2935044617164787E-7</c:v>
                </c:pt>
                <c:pt idx="72">
                  <c:v>1.2192991741241121E-7</c:v>
                </c:pt>
                <c:pt idx="73">
                  <c:v>1.1513593034602108E-7</c:v>
                </c:pt>
                <c:pt idx="74">
                  <c:v>1.0890487174764964E-7</c:v>
                </c:pt>
                <c:pt idx="75">
                  <c:v>1.0318054886516823E-7</c:v>
                </c:pt>
                <c:pt idx="76">
                  <c:v>9.7913223569600434E-8</c:v>
                </c:pt>
                <c:pt idx="77">
                  <c:v>9.3058784144878074E-8</c:v>
                </c:pt>
                <c:pt idx="78">
                  <c:v>8.8578033525628242E-8</c:v>
                </c:pt>
                <c:pt idx="79">
                  <c:v>8.4436076282216701E-8</c:v>
                </c:pt>
                <c:pt idx="80">
                  <c:v>8.06017895316654E-8</c:v>
                </c:pt>
                <c:pt idx="81">
                  <c:v>7.704736533593135E-8</c:v>
                </c:pt>
                <c:pt idx="82">
                  <c:v>7.3747914124032343E-8</c:v>
                </c:pt>
                <c:pt idx="83">
                  <c:v>7.0681120316669985E-8</c:v>
                </c:pt>
                <c:pt idx="84">
                  <c:v>6.7826942699841204E-8</c:v>
                </c:pt>
                <c:pt idx="85">
                  <c:v>6.5167353236036028E-8</c:v>
                </c:pt>
                <c:pt idx="86">
                  <c:v>6.2686108957679913E-8</c:v>
                </c:pt>
                <c:pt idx="87">
                  <c:v>6.0368552389013201E-8</c:v>
                </c:pt>
                <c:pt idx="88">
                  <c:v>5.8201436616468289E-8</c:v>
                </c:pt>
                <c:pt idx="89">
                  <c:v>5.6172771695189969E-8</c:v>
                </c:pt>
                <c:pt idx="90">
                  <c:v>5.4271689558264528E-8</c:v>
                </c:pt>
                <c:pt idx="91">
                  <c:v>5.2488325000439002E-8</c:v>
                </c:pt>
                <c:pt idx="92">
                  <c:v>5.0813710651253234E-8</c:v>
                </c:pt>
                <c:pt idx="93">
                  <c:v>4.9239684144097829E-8</c:v>
                </c:pt>
                <c:pt idx="94">
                  <c:v>4.7758805935571817E-8</c:v>
                </c:pt>
                <c:pt idx="95">
                  <c:v>4.6364286440860197E-8</c:v>
                </c:pt>
                <c:pt idx="96">
                  <c:v>4.5049921331207195E-8</c:v>
                </c:pt>
                <c:pt idx="97">
                  <c:v>4.3810033993986375E-8</c:v>
                </c:pt>
                <c:pt idx="98">
                  <c:v>4.2639424288036821E-8</c:v>
                </c:pt>
                <c:pt idx="99">
                  <c:v>4.1533322840425212E-8</c:v>
                </c:pt>
                <c:pt idx="100">
                  <c:v>4.0487350228483871E-8</c:v>
                </c:pt>
                <c:pt idx="101">
                  <c:v>3.9497480474972356E-8</c:v>
                </c:pt>
                <c:pt idx="102">
                  <c:v>3.8560008356718514E-8</c:v>
                </c:pt>
                <c:pt idx="103">
                  <c:v>3.7671520089823265E-8</c:v>
                </c:pt>
                <c:pt idx="104">
                  <c:v>3.6828867008692377E-8</c:v>
                </c:pt>
                <c:pt idx="105">
                  <c:v>3.6029141903193773E-8</c:v>
                </c:pt>
                <c:pt idx="106">
                  <c:v>3.5269657719069553E-8</c:v>
                </c:pt>
                <c:pt idx="107">
                  <c:v>3.4547928362139424E-8</c:v>
                </c:pt>
                <c:pt idx="108">
                  <c:v>3.3861651377881356E-8</c:v>
                </c:pt>
                <c:pt idx="109">
                  <c:v>3.3208692304731601E-8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0-4B93-9DB8-0293DC46F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575295"/>
        <c:axId val="81157695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Time Interval (days)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Sheet1!$A$1:$A$112</c15:sqref>
                        </c15:fullRef>
                        <c15:formulaRef>
                          <c15:sqref>Sheet1!$A$2:$A$112</c15:sqref>
                        </c15:formulaRef>
                      </c:ext>
                    </c:extLst>
                    <c:strCache>
                      <c:ptCount val="1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Sheet1!$A$2:$A$112</c15:sqref>
                        </c15:fullRef>
                        <c15:formulaRef>
                          <c15:sqref>Sheet1!$A$3:$A$112</c15:sqref>
                        </c15:formulaRef>
                      </c:ext>
                    </c:extLst>
                    <c:numCache>
                      <c:formatCode>General</c:formatCode>
                      <c:ptCount val="110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19</c:v>
                      </c:pt>
                      <c:pt idx="18">
                        <c:v>20</c:v>
                      </c:pt>
                      <c:pt idx="19">
                        <c:v>21</c:v>
                      </c:pt>
                      <c:pt idx="20">
                        <c:v>22</c:v>
                      </c:pt>
                      <c:pt idx="21">
                        <c:v>23</c:v>
                      </c:pt>
                      <c:pt idx="22">
                        <c:v>24</c:v>
                      </c:pt>
                      <c:pt idx="23">
                        <c:v>25</c:v>
                      </c:pt>
                      <c:pt idx="24">
                        <c:v>26</c:v>
                      </c:pt>
                      <c:pt idx="25">
                        <c:v>27</c:v>
                      </c:pt>
                      <c:pt idx="26">
                        <c:v>28</c:v>
                      </c:pt>
                      <c:pt idx="27">
                        <c:v>29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32</c:v>
                      </c:pt>
                      <c:pt idx="31">
                        <c:v>33</c:v>
                      </c:pt>
                      <c:pt idx="32">
                        <c:v>34</c:v>
                      </c:pt>
                      <c:pt idx="33">
                        <c:v>35</c:v>
                      </c:pt>
                      <c:pt idx="34">
                        <c:v>36</c:v>
                      </c:pt>
                      <c:pt idx="35">
                        <c:v>37</c:v>
                      </c:pt>
                      <c:pt idx="36">
                        <c:v>38</c:v>
                      </c:pt>
                      <c:pt idx="37">
                        <c:v>39</c:v>
                      </c:pt>
                      <c:pt idx="38">
                        <c:v>40</c:v>
                      </c:pt>
                      <c:pt idx="39">
                        <c:v>41</c:v>
                      </c:pt>
                      <c:pt idx="40">
                        <c:v>42</c:v>
                      </c:pt>
                      <c:pt idx="41">
                        <c:v>43</c:v>
                      </c:pt>
                      <c:pt idx="42">
                        <c:v>44</c:v>
                      </c:pt>
                      <c:pt idx="43">
                        <c:v>45</c:v>
                      </c:pt>
                      <c:pt idx="44">
                        <c:v>46</c:v>
                      </c:pt>
                      <c:pt idx="45">
                        <c:v>47</c:v>
                      </c:pt>
                      <c:pt idx="46">
                        <c:v>48</c:v>
                      </c:pt>
                      <c:pt idx="47">
                        <c:v>49</c:v>
                      </c:pt>
                      <c:pt idx="48">
                        <c:v>50</c:v>
                      </c:pt>
                      <c:pt idx="49">
                        <c:v>51</c:v>
                      </c:pt>
                      <c:pt idx="50">
                        <c:v>52</c:v>
                      </c:pt>
                      <c:pt idx="51">
                        <c:v>53</c:v>
                      </c:pt>
                      <c:pt idx="52">
                        <c:v>54</c:v>
                      </c:pt>
                      <c:pt idx="53">
                        <c:v>55</c:v>
                      </c:pt>
                      <c:pt idx="54">
                        <c:v>56</c:v>
                      </c:pt>
                      <c:pt idx="55">
                        <c:v>57</c:v>
                      </c:pt>
                      <c:pt idx="56">
                        <c:v>58</c:v>
                      </c:pt>
                      <c:pt idx="57">
                        <c:v>59</c:v>
                      </c:pt>
                      <c:pt idx="58">
                        <c:v>60</c:v>
                      </c:pt>
                      <c:pt idx="59">
                        <c:v>61</c:v>
                      </c:pt>
                      <c:pt idx="60">
                        <c:v>62</c:v>
                      </c:pt>
                      <c:pt idx="61">
                        <c:v>63</c:v>
                      </c:pt>
                      <c:pt idx="62">
                        <c:v>64</c:v>
                      </c:pt>
                      <c:pt idx="63">
                        <c:v>65</c:v>
                      </c:pt>
                      <c:pt idx="64">
                        <c:v>66</c:v>
                      </c:pt>
                      <c:pt idx="65">
                        <c:v>67</c:v>
                      </c:pt>
                      <c:pt idx="66">
                        <c:v>68</c:v>
                      </c:pt>
                      <c:pt idx="67">
                        <c:v>69</c:v>
                      </c:pt>
                      <c:pt idx="68">
                        <c:v>70</c:v>
                      </c:pt>
                      <c:pt idx="69">
                        <c:v>71</c:v>
                      </c:pt>
                      <c:pt idx="70">
                        <c:v>72</c:v>
                      </c:pt>
                      <c:pt idx="71">
                        <c:v>73</c:v>
                      </c:pt>
                      <c:pt idx="72">
                        <c:v>74</c:v>
                      </c:pt>
                      <c:pt idx="73">
                        <c:v>75</c:v>
                      </c:pt>
                      <c:pt idx="74">
                        <c:v>76</c:v>
                      </c:pt>
                      <c:pt idx="75">
                        <c:v>77</c:v>
                      </c:pt>
                      <c:pt idx="76">
                        <c:v>78</c:v>
                      </c:pt>
                      <c:pt idx="77">
                        <c:v>79</c:v>
                      </c:pt>
                      <c:pt idx="78">
                        <c:v>80</c:v>
                      </c:pt>
                      <c:pt idx="79">
                        <c:v>81</c:v>
                      </c:pt>
                      <c:pt idx="80">
                        <c:v>82</c:v>
                      </c:pt>
                      <c:pt idx="81">
                        <c:v>83</c:v>
                      </c:pt>
                      <c:pt idx="82">
                        <c:v>84</c:v>
                      </c:pt>
                      <c:pt idx="83">
                        <c:v>85</c:v>
                      </c:pt>
                      <c:pt idx="84">
                        <c:v>86</c:v>
                      </c:pt>
                      <c:pt idx="85">
                        <c:v>87</c:v>
                      </c:pt>
                      <c:pt idx="86">
                        <c:v>88</c:v>
                      </c:pt>
                      <c:pt idx="87">
                        <c:v>89</c:v>
                      </c:pt>
                      <c:pt idx="88">
                        <c:v>90</c:v>
                      </c:pt>
                      <c:pt idx="89">
                        <c:v>91</c:v>
                      </c:pt>
                      <c:pt idx="90">
                        <c:v>92</c:v>
                      </c:pt>
                      <c:pt idx="91">
                        <c:v>93</c:v>
                      </c:pt>
                      <c:pt idx="92">
                        <c:v>94</c:v>
                      </c:pt>
                      <c:pt idx="93">
                        <c:v>95</c:v>
                      </c:pt>
                      <c:pt idx="94">
                        <c:v>96</c:v>
                      </c:pt>
                      <c:pt idx="95">
                        <c:v>97</c:v>
                      </c:pt>
                      <c:pt idx="96">
                        <c:v>98</c:v>
                      </c:pt>
                      <c:pt idx="97">
                        <c:v>99</c:v>
                      </c:pt>
                      <c:pt idx="98">
                        <c:v>100</c:v>
                      </c:pt>
                      <c:pt idx="99">
                        <c:v>101</c:v>
                      </c:pt>
                      <c:pt idx="100">
                        <c:v>102</c:v>
                      </c:pt>
                      <c:pt idx="101">
                        <c:v>103</c:v>
                      </c:pt>
                      <c:pt idx="102">
                        <c:v>104</c:v>
                      </c:pt>
                      <c:pt idx="103">
                        <c:v>105</c:v>
                      </c:pt>
                      <c:pt idx="104">
                        <c:v>106</c:v>
                      </c:pt>
                      <c:pt idx="105">
                        <c:v>107</c:v>
                      </c:pt>
                      <c:pt idx="106">
                        <c:v>108</c:v>
                      </c:pt>
                      <c:pt idx="107">
                        <c:v>109</c:v>
                      </c:pt>
                      <c:pt idx="108">
                        <c:v>110</c:v>
                      </c:pt>
                      <c:pt idx="109">
                        <c:v>111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C0-4B93-9DB8-0293DC46F0DE}"/>
                  </c:ext>
                </c:extLst>
              </c15:ser>
            </c15:filteredLineSeries>
          </c:ext>
        </c:extLst>
      </c:lineChart>
      <c:catAx>
        <c:axId val="81157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76959"/>
        <c:crosses val="autoZero"/>
        <c:auto val="1"/>
        <c:lblAlgn val="ctr"/>
        <c:lblOffset val="100"/>
        <c:noMultiLvlLbl val="0"/>
      </c:catAx>
      <c:valAx>
        <c:axId val="81157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RELIABILITY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7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Cost($10,$50,$500)</a:t>
            </a:r>
            <a:r>
              <a:rPr lang="en-US" baseline="0"/>
              <a:t> vs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Sheet1!$J$2:$J$112</c:f>
              <c:numCache>
                <c:formatCode>"$"#,##0.00_);[Red]\("$"#,##0.00\)</c:formatCode>
                <c:ptCount val="111"/>
                <c:pt idx="0">
                  <c:v>24553.284100000932</c:v>
                </c:pt>
                <c:pt idx="1">
                  <c:v>24181.010202955913</c:v>
                </c:pt>
                <c:pt idx="2">
                  <c:v>23825.648400173151</c:v>
                </c:pt>
                <c:pt idx="3">
                  <c:v>23486.698897875893</c:v>
                </c:pt>
                <c:pt idx="4">
                  <c:v>23163.676672416728</c:v>
                </c:pt>
                <c:pt idx="5">
                  <c:v>22856.111033784062</c:v>
                </c:pt>
                <c:pt idx="6">
                  <c:v>22563.54520200815</c:v>
                </c:pt>
                <c:pt idx="7">
                  <c:v>22285.535896085283</c:v>
                </c:pt>
                <c:pt idx="8">
                  <c:v>22021.652935050319</c:v>
                </c:pt>
                <c:pt idx="9">
                  <c:v>21771.478850838474</c:v>
                </c:pt>
                <c:pt idx="10">
                  <c:v>21534.608512588005</c:v>
                </c:pt>
                <c:pt idx="11">
                  <c:v>21310.648762045668</c:v>
                </c:pt>
                <c:pt idx="12">
                  <c:v>21099.218059746832</c:v>
                </c:pt>
                <c:pt idx="13">
                  <c:v>20899.946141651839</c:v>
                </c:pt>
                <c:pt idx="14">
                  <c:v>20712.473685929599</c:v>
                </c:pt>
                <c:pt idx="15">
                  <c:v>20536.451989588557</c:v>
                </c:pt>
                <c:pt idx="16">
                  <c:v>20371.542654663976</c:v>
                </c:pt>
                <c:pt idx="17">
                  <c:v>20217.417283679191</c:v>
                </c:pt>
                <c:pt idx="18">
                  <c:v>20073.757184106707</c:v>
                </c:pt>
                <c:pt idx="19">
                  <c:v>19940.253081563191</c:v>
                </c:pt>
                <c:pt idx="20">
                  <c:v>19816.604841480264</c:v>
                </c:pt>
                <c:pt idx="21">
                  <c:v>19702.521199000621</c:v>
                </c:pt>
                <c:pt idx="22">
                  <c:v>19597.71949685632</c:v>
                </c:pt>
                <c:pt idx="23">
                  <c:v>19501.925430993488</c:v>
                </c:pt>
                <c:pt idx="24">
                  <c:v>19414.872803714377</c:v>
                </c:pt>
                <c:pt idx="25">
                  <c:v>19336.303284114718</c:v>
                </c:pt>
                <c:pt idx="26">
                  <c:v>19265.966175600704</c:v>
                </c:pt>
                <c:pt idx="27">
                  <c:v>19203.618190276451</c:v>
                </c:pt>
                <c:pt idx="28">
                  <c:v>19149.023229998809</c:v>
                </c:pt>
                <c:pt idx="29">
                  <c:v>19101.952173902617</c:v>
                </c:pt>
                <c:pt idx="30">
                  <c:v>19062.182672205025</c:v>
                </c:pt>
                <c:pt idx="31">
                  <c:v>19029.49894610346</c:v>
                </c:pt>
                <c:pt idx="32">
                  <c:v>19003.69159358706</c:v>
                </c:pt>
                <c:pt idx="33">
                  <c:v>18984.557400986894</c:v>
                </c:pt>
                <c:pt idx="34">
                  <c:v>18971.899160095294</c:v>
                </c:pt>
                <c:pt idx="35">
                  <c:v>18965.525490689783</c:v>
                </c:pt>
                <c:pt idx="36">
                  <c:v>18965.250668301858</c:v>
                </c:pt>
                <c:pt idx="37">
                  <c:v>18970.894457075596</c:v>
                </c:pt>
                <c:pt idx="38">
                  <c:v>18982.281947565745</c:v>
                </c:pt>
                <c:pt idx="39">
                  <c:v>18999.243399329229</c:v>
                </c:pt>
                <c:pt idx="40">
                  <c:v>19021.614088168499</c:v>
                </c:pt>
                <c:pt idx="41">
                  <c:v>19049.234157889201</c:v>
                </c:pt>
                <c:pt idx="42">
                  <c:v>19081.948476438753</c:v>
                </c:pt>
                <c:pt idx="43">
                  <c:v>19119.606496296412</c:v>
                </c:pt>
                <c:pt idx="44">
                  <c:v>19162.062118989117</c:v>
                </c:pt>
                <c:pt idx="45">
                  <c:v>19209.173563611264</c:v>
                </c:pt>
                <c:pt idx="46">
                  <c:v>19260.803239230005</c:v>
                </c:pt>
                <c:pt idx="47">
                  <c:v>19316.817621061302</c:v>
                </c:pt>
                <c:pt idx="48">
                  <c:v>19377.087130305281</c:v>
                </c:pt>
                <c:pt idx="49">
                  <c:v>19441.486017532738</c:v>
                </c:pt>
                <c:pt idx="50">
                  <c:v>19509.892249517863</c:v>
                </c:pt>
                <c:pt idx="51">
                  <c:v>19582.18739941535</c:v>
                </c:pt>
                <c:pt idx="52">
                  <c:v>19658.256540182992</c:v>
                </c:pt>
                <c:pt idx="53">
                  <c:v>19737.988141153983</c:v>
                </c:pt>
                <c:pt idx="54">
                  <c:v>19821.273967665667</c:v>
                </c:pt>
                <c:pt idx="55">
                  <c:v>19908.008983654567</c:v>
                </c:pt>
                <c:pt idx="56">
                  <c:v>19998.091257129963</c:v>
                </c:pt>
                <c:pt idx="57">
                  <c:v>20091.421868440921</c:v>
                </c:pt>
                <c:pt idx="58">
                  <c:v>20187.904821254298</c:v>
                </c:pt>
                <c:pt idx="59">
                  <c:v>20287.446956163541</c:v>
                </c:pt>
                <c:pt idx="60">
                  <c:v>20389.957866850549</c:v>
                </c:pt>
                <c:pt idx="61">
                  <c:v>20495.349818725212</c:v>
                </c:pt>
                <c:pt idx="62">
                  <c:v>20603.537669969264</c:v>
                </c:pt>
                <c:pt idx="63">
                  <c:v>20714.438794913542</c:v>
                </c:pt>
                <c:pt idx="64">
                  <c:v>20827.973009679637</c:v>
                </c:pt>
                <c:pt idx="65">
                  <c:v>20944.062500018998</c:v>
                </c:pt>
                <c:pt idx="66">
                  <c:v>21062.631751284556</c:v>
                </c:pt>
                <c:pt idx="67">
                  <c:v>21183.607480471885</c:v>
                </c:pt>
                <c:pt idx="68">
                  <c:v>21306.918570268681</c:v>
                </c:pt>
                <c:pt idx="69">
                  <c:v>21432.496005053301</c:v>
                </c:pt>
                <c:pt idx="70">
                  <c:v>21560.272808784604</c:v>
                </c:pt>
                <c:pt idx="71">
                  <c:v>21690.18398472741</c:v>
                </c:pt>
                <c:pt idx="72">
                  <c:v>21822.166456959112</c:v>
                </c:pt>
                <c:pt idx="73">
                  <c:v>21956.159013605014</c:v>
                </c:pt>
                <c:pt idx="74">
                  <c:v>22092.102251751123</c:v>
                </c:pt>
                <c:pt idx="75">
                  <c:v>22229.938523984929</c:v>
                </c:pt>
                <c:pt idx="76">
                  <c:v>22369.611886516064</c:v>
                </c:pt>
                <c:pt idx="77">
                  <c:v>22511.068048830079</c:v>
                </c:pt>
                <c:pt idx="78">
                  <c:v>22654.254324830086</c:v>
                </c:pt>
                <c:pt idx="79">
                  <c:v>22799.119585422337</c:v>
                </c:pt>
                <c:pt idx="80">
                  <c:v>22945.614212502915</c:v>
                </c:pt>
                <c:pt idx="81">
                  <c:v>23093.690054304312</c:v>
                </c:pt>
                <c:pt idx="82">
                  <c:v>23243.30038206161</c:v>
                </c:pt>
                <c:pt idx="83">
                  <c:v>23394.399847959248</c:v>
                </c:pt>
                <c:pt idx="84">
                  <c:v>23546.944444320612</c:v>
                </c:pt>
                <c:pt idx="85">
                  <c:v>23700.891464003631</c:v>
                </c:pt>
                <c:pt idx="86">
                  <c:v>23856.199461966804</c:v>
                </c:pt>
                <c:pt idx="87">
                  <c:v>24012.828217971048</c:v>
                </c:pt>
                <c:pt idx="88">
                  <c:v>24170.738700383768</c:v>
                </c:pt>
                <c:pt idx="89">
                  <c:v>24329.893031052663</c:v>
                </c:pt>
                <c:pt idx="90">
                  <c:v>24490.254451217508</c:v>
                </c:pt>
                <c:pt idx="91">
                  <c:v>24651.787288429427</c:v>
                </c:pt>
                <c:pt idx="92">
                  <c:v>24814.45692444771</c:v>
                </c:pt>
                <c:pt idx="93">
                  <c:v>24978.229764085379</c:v>
                </c:pt>
                <c:pt idx="94">
                  <c:v>25143.073204975466</c:v>
                </c:pt>
                <c:pt idx="95">
                  <c:v>25308.955608230735</c:v>
                </c:pt>
                <c:pt idx="96">
                  <c:v>25475.846269970494</c:v>
                </c:pt>
                <c:pt idx="97">
                  <c:v>25643.715393688879</c:v>
                </c:pt>
                <c:pt idx="98">
                  <c:v>25812.534063439693</c:v>
                </c:pt>
                <c:pt idx="99">
                  <c:v>25982.274217813723</c:v>
                </c:pt>
                <c:pt idx="100">
                  <c:v>26152.908624685086</c:v>
                </c:pt>
                <c:pt idx="101">
                  <c:v>26324.410856703849</c:v>
                </c:pt>
                <c:pt idx="102">
                  <c:v>26496.755267512966</c:v>
                </c:pt>
                <c:pt idx="103">
                  <c:v>26669.916968667996</c:v>
                </c:pt>
                <c:pt idx="104">
                  <c:v>26843.871807238953</c:v>
                </c:pt>
                <c:pt idx="105">
                  <c:v>27018.596344074045</c:v>
                </c:pt>
                <c:pt idx="106">
                  <c:v>27194.067832705769</c:v>
                </c:pt>
                <c:pt idx="107">
                  <c:v>27370.264198880428</c:v>
                </c:pt>
                <c:pt idx="108">
                  <c:v>27547.164020692529</c:v>
                </c:pt>
                <c:pt idx="109">
                  <c:v>27724.746509306329</c:v>
                </c:pt>
                <c:pt idx="110">
                  <c:v>27902.991490247041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2-4801-B694-EC2D79D3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728415"/>
        <c:axId val="1052731327"/>
      </c:lineChart>
      <c:catAx>
        <c:axId val="105272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interval(days)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31327"/>
        <c:crosses val="autoZero"/>
        <c:auto val="1"/>
        <c:lblAlgn val="ctr"/>
        <c:lblOffset val="100"/>
        <c:noMultiLvlLbl val="0"/>
      </c:catAx>
      <c:valAx>
        <c:axId val="105273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COST($10,$50,$100)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2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cost($10,$50,$1000)</a:t>
            </a:r>
            <a:r>
              <a:rPr lang="en-US" baseline="0"/>
              <a:t> </a:t>
            </a:r>
            <a:r>
              <a:rPr lang="en-US"/>
              <a:t>vs</a:t>
            </a:r>
            <a:r>
              <a:rPr lang="en-US" baseline="0"/>
              <a:t>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cost($10,$50,$1000)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Sheet1!$K$2:$K$114</c:f>
              <c:numCache>
                <c:formatCode>"$"#,##0.00_);[Red]\("$"#,##0.00\)</c:formatCode>
                <c:ptCount val="113"/>
                <c:pt idx="0">
                  <c:v>26040.410356249766</c:v>
                </c:pt>
                <c:pt idx="1">
                  <c:v>27133.47883051102</c:v>
                </c:pt>
                <c:pt idx="2">
                  <c:v>28222.319281206714</c:v>
                </c:pt>
                <c:pt idx="3">
                  <c:v>29307.056656781024</c:v>
                </c:pt>
                <c:pt idx="4">
                  <c:v>30387.812213145819</c:v>
                </c:pt>
                <c:pt idx="5">
                  <c:v>31464.703622803983</c:v>
                </c:pt>
                <c:pt idx="6">
                  <c:v>32537.84508074796</c:v>
                </c:pt>
                <c:pt idx="7">
                  <c:v>33607.347407228677</c:v>
                </c:pt>
                <c:pt idx="8">
                  <c:v>34673.318147487415</c:v>
                </c:pt>
                <c:pt idx="9">
                  <c:v>35735.861668540383</c:v>
                </c:pt>
                <c:pt idx="10">
                  <c:v>36795.079253103002</c:v>
                </c:pt>
                <c:pt idx="11">
                  <c:v>37851.069190738584</c:v>
                </c:pt>
                <c:pt idx="12">
                  <c:v>38903.926866313297</c:v>
                </c:pt>
                <c:pt idx="13">
                  <c:v>39953.744845837042</c:v>
                </c:pt>
                <c:pt idx="14">
                  <c:v>41000.612959767604</c:v>
                </c:pt>
                <c:pt idx="15">
                  <c:v>42044.61838385286</c:v>
                </c:pt>
                <c:pt idx="16">
                  <c:v>43085.845717584001</c:v>
                </c:pt>
                <c:pt idx="17">
                  <c:v>44124.377060330196</c:v>
                </c:pt>
                <c:pt idx="18">
                  <c:v>45160.292085223322</c:v>
                </c:pt>
                <c:pt idx="19">
                  <c:v>46193.668110859202</c:v>
                </c:pt>
                <c:pt idx="20">
                  <c:v>47224.580170879934</c:v>
                </c:pt>
                <c:pt idx="21">
                  <c:v>48253.101081499844</c:v>
                </c:pt>
                <c:pt idx="22">
                  <c:v>49279.301507035918</c:v>
                </c:pt>
                <c:pt idx="23">
                  <c:v>50303.250023501627</c:v>
                </c:pt>
                <c:pt idx="24">
                  <c:v>51325.013180321403</c:v>
                </c:pt>
                <c:pt idx="25">
                  <c:v>52344.655560221319</c:v>
                </c:pt>
                <c:pt idx="26">
                  <c:v>53362.239837349822</c:v>
                </c:pt>
                <c:pt idx="27">
                  <c:v>54377.826833680883</c:v>
                </c:pt>
                <c:pt idx="28">
                  <c:v>55391.4755737503</c:v>
                </c:pt>
                <c:pt idx="29">
                  <c:v>56403.243337774344</c:v>
                </c:pt>
                <c:pt idx="30">
                  <c:v>57413.185713198742</c:v>
                </c:pt>
                <c:pt idx="31">
                  <c:v>58421.356644724132</c:v>
                </c:pt>
                <c:pt idx="32">
                  <c:v>59427.80848285323</c:v>
                </c:pt>
                <c:pt idx="33">
                  <c:v>60432.592031003274</c:v>
                </c:pt>
                <c:pt idx="34">
                  <c:v>61435.756591226178</c:v>
                </c:pt>
                <c:pt idx="35">
                  <c:v>62437.350008577552</c:v>
                </c:pt>
                <c:pt idx="36">
                  <c:v>63437.418714174535</c:v>
                </c:pt>
                <c:pt idx="37">
                  <c:v>64436.0077669811</c:v>
                </c:pt>
                <c:pt idx="38">
                  <c:v>65433.16089435856</c:v>
                </c:pt>
                <c:pt idx="39">
                  <c:v>66428.920531417694</c:v>
                </c:pt>
                <c:pt idx="40">
                  <c:v>67423.327859207871</c:v>
                </c:pt>
                <c:pt idx="41">
                  <c:v>68416.422841777705</c:v>
                </c:pt>
                <c:pt idx="42">
                  <c:v>69408.244262140302</c:v>
                </c:pt>
                <c:pt idx="43">
                  <c:v>70398.829757175903</c:v>
                </c:pt>
                <c:pt idx="44">
                  <c:v>71388.215851502726</c:v>
                </c:pt>
                <c:pt idx="45">
                  <c:v>72376.437990347185</c:v>
                </c:pt>
                <c:pt idx="46">
                  <c:v>73363.530571442505</c:v>
                </c:pt>
                <c:pt idx="47">
                  <c:v>74349.526975984671</c:v>
                </c:pt>
                <c:pt idx="48">
                  <c:v>75334.459598673682</c:v>
                </c:pt>
                <c:pt idx="49">
                  <c:v>76318.359876866816</c:v>
                </c:pt>
                <c:pt idx="50">
                  <c:v>77301.258318870532</c:v>
                </c:pt>
                <c:pt idx="51">
                  <c:v>78283.184531396168</c:v>
                </c:pt>
                <c:pt idx="52">
                  <c:v>79264.167246204248</c:v>
                </c:pt>
                <c:pt idx="53">
                  <c:v>80244.234345961508</c:v>
                </c:pt>
                <c:pt idx="54">
                  <c:v>81223.412889333587</c:v>
                </c:pt>
                <c:pt idx="55">
                  <c:v>82201.729135336354</c:v>
                </c:pt>
                <c:pt idx="56">
                  <c:v>83179.208566967514</c:v>
                </c:pt>
                <c:pt idx="57">
                  <c:v>84155.87591413976</c:v>
                </c:pt>
                <c:pt idx="58">
                  <c:v>85131.755175936429</c:v>
                </c:pt>
                <c:pt idx="59">
                  <c:v>86106.869642209116</c:v>
                </c:pt>
                <c:pt idx="60">
                  <c:v>87081.241914537357</c:v>
                </c:pt>
                <c:pt idx="61">
                  <c:v>88054.893926568693</c:v>
                </c:pt>
                <c:pt idx="62">
                  <c:v>89027.846963757678</c:v>
                </c:pt>
                <c:pt idx="63">
                  <c:v>90000.121682521611</c:v>
                </c:pt>
                <c:pt idx="64">
                  <c:v>90971.738128830097</c:v>
                </c:pt>
                <c:pt idx="65">
                  <c:v>91942.715756245248</c:v>
                </c:pt>
                <c:pt idx="66">
                  <c:v>92913.073443428861</c:v>
                </c:pt>
                <c:pt idx="67">
                  <c:v>93882.829511132033</c:v>
                </c:pt>
                <c:pt idx="68">
                  <c:v>94852.001738682826</c:v>
                </c:pt>
                <c:pt idx="69">
                  <c:v>95820.607379986672</c:v>
                </c:pt>
                <c:pt idx="70">
                  <c:v>96788.663179053852</c:v>
                </c:pt>
                <c:pt idx="71">
                  <c:v>97756.185385068151</c:v>
                </c:pt>
                <c:pt idx="72">
                  <c:v>98723.189767010219</c:v>
                </c:pt>
                <c:pt idx="73">
                  <c:v>99689.691627848748</c:v>
                </c:pt>
                <c:pt idx="74">
                  <c:v>100655.70581831221</c:v>
                </c:pt>
                <c:pt idx="75">
                  <c:v>101621.24675025378</c:v>
                </c:pt>
                <c:pt idx="76">
                  <c:v>102586.32840962098</c:v>
                </c:pt>
                <c:pt idx="77">
                  <c:v>103550.96436904249</c:v>
                </c:pt>
                <c:pt idx="78">
                  <c:v>104515.16780004249</c:v>
                </c:pt>
                <c:pt idx="79">
                  <c:v>105478.95148489441</c:v>
                </c:pt>
                <c:pt idx="80">
                  <c:v>106442.32782812427</c:v>
                </c:pt>
                <c:pt idx="81">
                  <c:v>107405.30886767391</c:v>
                </c:pt>
                <c:pt idx="82">
                  <c:v>108367.9062857346</c:v>
                </c:pt>
                <c:pt idx="83">
                  <c:v>109330.13141926019</c:v>
                </c:pt>
                <c:pt idx="84">
                  <c:v>110291.99527016985</c:v>
                </c:pt>
                <c:pt idx="85">
                  <c:v>111253.50851524909</c:v>
                </c:pt>
                <c:pt idx="86">
                  <c:v>112214.6815157583</c:v>
                </c:pt>
                <c:pt idx="87">
                  <c:v>113175.52432675724</c:v>
                </c:pt>
                <c:pt idx="88">
                  <c:v>114136.04670615405</c:v>
                </c:pt>
                <c:pt idx="89">
                  <c:v>115096.25812348683</c:v>
                </c:pt>
                <c:pt idx="90">
                  <c:v>116056.16776844562</c:v>
                </c:pt>
                <c:pt idx="91">
                  <c:v>117015.78455914264</c:v>
                </c:pt>
                <c:pt idx="92">
                  <c:v>117975.11715013807</c:v>
                </c:pt>
                <c:pt idx="93">
                  <c:v>118934.17394022865</c:v>
                </c:pt>
                <c:pt idx="94">
                  <c:v>119892.96308000613</c:v>
                </c:pt>
                <c:pt idx="95">
                  <c:v>120851.49247919231</c:v>
                </c:pt>
                <c:pt idx="96">
                  <c:v>121809.76981375738</c:v>
                </c:pt>
                <c:pt idx="97">
                  <c:v>122767.80253282777</c:v>
                </c:pt>
                <c:pt idx="98">
                  <c:v>123725.59786539007</c:v>
                </c:pt>
                <c:pt idx="99">
                  <c:v>124683.16282679657</c:v>
                </c:pt>
                <c:pt idx="100">
                  <c:v>125640.50422507874</c:v>
                </c:pt>
                <c:pt idx="101">
                  <c:v>126597.62866707404</c:v>
                </c:pt>
                <c:pt idx="102">
                  <c:v>127554.54256437176</c:v>
                </c:pt>
                <c:pt idx="103">
                  <c:v>128511.25213908299</c:v>
                </c:pt>
                <c:pt idx="104">
                  <c:v>129467.76342944027</c:v>
                </c:pt>
                <c:pt idx="105">
                  <c:v>130424.08229523149</c:v>
                </c:pt>
                <c:pt idx="106">
                  <c:v>131380.21442307357</c:v>
                </c:pt>
                <c:pt idx="107">
                  <c:v>132336.16533152989</c:v>
                </c:pt>
                <c:pt idx="108">
                  <c:v>133291.94037607688</c:v>
                </c:pt>
                <c:pt idx="109">
                  <c:v>134247.54475392343</c:v>
                </c:pt>
                <c:pt idx="110">
                  <c:v>135202.98350868822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4-4EB6-8337-6622DF793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967039"/>
        <c:axId val="1039969535"/>
      </c:lineChart>
      <c:catAx>
        <c:axId val="103996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interval(days)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969535"/>
        <c:crosses val="autoZero"/>
        <c:auto val="1"/>
        <c:lblAlgn val="ctr"/>
        <c:lblOffset val="100"/>
        <c:noMultiLvlLbl val="0"/>
      </c:catAx>
      <c:valAx>
        <c:axId val="10399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cost($10,$50,$1000)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96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Reliability</a:t>
            </a:r>
            <a:r>
              <a:rPr lang="en-US" baseline="0"/>
              <a:t> growth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R(T)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Sheet1!$L$2:$L$112</c:f>
              <c:numCache>
                <c:formatCode>General</c:formatCode>
                <c:ptCount val="1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</c:numCache>
            </c:numRef>
          </c:cat>
          <c:val>
            <c:numRef>
              <c:f>Sheet1!$M$2:$M$111</c:f>
              <c:numCache>
                <c:formatCode>General</c:formatCode>
                <c:ptCount val="110"/>
                <c:pt idx="0">
                  <c:v>0.59917308517712731</c:v>
                </c:pt>
                <c:pt idx="1">
                  <c:v>0.60831170158718917</c:v>
                </c:pt>
                <c:pt idx="2">
                  <c:v>0.61731349440303362</c:v>
                </c:pt>
                <c:pt idx="3">
                  <c:v>0.62617660540290221</c:v>
                </c:pt>
                <c:pt idx="4">
                  <c:v>0.63489943984907471</c:v>
                </c:pt>
                <c:pt idx="5">
                  <c:v>0.64348065569871915</c:v>
                </c:pt>
                <c:pt idx="6">
                  <c:v>0.65191915276308654</c:v>
                </c:pt>
                <c:pt idx="7">
                  <c:v>0.66021406186165144</c:v>
                </c:pt>
                <c:pt idx="8">
                  <c:v>0.66836473401532526</c:v>
                </c:pt>
                <c:pt idx="9">
                  <c:v>0.67637072971826051</c:v>
                </c:pt>
                <c:pt idx="10">
                  <c:v>0.68423180832389707</c:v>
                </c:pt>
                <c:pt idx="11">
                  <c:v>0.69194791757574037</c:v>
                </c:pt>
                <c:pt idx="12">
                  <c:v>0.69951918331287177</c:v>
                </c:pt>
                <c:pt idx="13">
                  <c:v>0.70694589937313146</c:v>
                </c:pt>
                <c:pt idx="14">
                  <c:v>0.71422851771615226</c:v>
                </c:pt>
                <c:pt idx="15">
                  <c:v>0.72136763878509269</c:v>
                </c:pt>
                <c:pt idx="16">
                  <c:v>0.72836400212209307</c:v>
                </c:pt>
                <c:pt idx="17">
                  <c:v>0.73521847725091882</c:v>
                </c:pt>
                <c:pt idx="18">
                  <c:v>0.74193205483800739</c:v>
                </c:pt>
                <c:pt idx="19">
                  <c:v>0.74850583813907623</c:v>
                </c:pt>
                <c:pt idx="20">
                  <c:v>0.75494103473913965</c:v>
                </c:pt>
                <c:pt idx="21">
                  <c:v>0.76123894859083074</c:v>
                </c:pt>
                <c:pt idx="22">
                  <c:v>0.76740097235112492</c:v>
                </c:pt>
                <c:pt idx="23">
                  <c:v>0.77342858002267756</c:v>
                </c:pt>
                <c:pt idx="24">
                  <c:v>0.77932331989460457</c:v>
                </c:pt>
                <c:pt idx="25">
                  <c:v>0.78508680778542173</c:v>
                </c:pt>
                <c:pt idx="26">
                  <c:v>0.79072072058370391</c:v>
                </c:pt>
                <c:pt idx="27">
                  <c:v>0.79622679008416475</c:v>
                </c:pt>
                <c:pt idx="28">
                  <c:v>0.80160679711380445</c:v>
                </c:pt>
                <c:pt idx="29">
                  <c:v>0.80686256594455374</c:v>
                </c:pt>
                <c:pt idx="30">
                  <c:v>0.81199595898528709</c:v>
                </c:pt>
                <c:pt idx="31">
                  <c:v>0.8170088717490338</c:v>
                </c:pt>
                <c:pt idx="32">
                  <c:v>0.82190322808568006</c:v>
                </c:pt>
                <c:pt idx="33">
                  <c:v>0.82668097567682819</c:v>
                </c:pt>
                <c:pt idx="34">
                  <c:v>0.8313440817814618</c:v>
                </c:pt>
                <c:pt idx="35">
                  <c:v>0.8358945292279486</c:v>
                </c:pt>
                <c:pt idx="36">
                  <c:v>0.84033431264295244</c:v>
                </c:pt>
                <c:pt idx="37">
                  <c:v>0.84466543490896118</c:v>
                </c:pt>
                <c:pt idx="38">
                  <c:v>0.84888990384343821</c:v>
                </c:pt>
                <c:pt idx="39">
                  <c:v>0.85300972909032269</c:v>
                </c:pt>
                <c:pt idx="40">
                  <c:v>0.85702691921620711</c:v>
                </c:pt>
                <c:pt idx="41">
                  <c:v>0.86094347900361079</c:v>
                </c:pt>
                <c:pt idx="42">
                  <c:v>0.86476140693108816</c:v>
                </c:pt>
                <c:pt idx="43">
                  <c:v>0.86848269283543988</c:v>
                </c:pt>
                <c:pt idx="44">
                  <c:v>0.87210931574461692</c:v>
                </c:pt>
                <c:pt idx="45">
                  <c:v>0.87564324187667808</c:v>
                </c:pt>
                <c:pt idx="46">
                  <c:v>0.87908642279429894</c:v>
                </c:pt>
                <c:pt idx="47">
                  <c:v>0.88244079370995654</c:v>
                </c:pt>
                <c:pt idx="48">
                  <c:v>0.88570827193236834</c:v>
                </c:pt>
                <c:pt idx="49">
                  <c:v>0.88889075544855223</c:v>
                </c:pt>
                <c:pt idx="50">
                  <c:v>0.89199012163366065</c:v>
                </c:pt>
                <c:pt idx="51">
                  <c:v>0.89500822608236508</c:v>
                </c:pt>
                <c:pt idx="52">
                  <c:v>0.89794690155571144</c:v>
                </c:pt>
                <c:pt idx="53">
                  <c:v>0.90080795703540761</c:v>
                </c:pt>
                <c:pt idx="54">
                  <c:v>0.9035931768822677</c:v>
                </c:pt>
                <c:pt idx="55">
                  <c:v>0.90630432009001538</c:v>
                </c:pt>
                <c:pt idx="56">
                  <c:v>0.90894311963139185</c:v>
                </c:pt>
                <c:pt idx="57">
                  <c:v>0.91151128188908515</c:v>
                </c:pt>
                <c:pt idx="58">
                  <c:v>0.91401048616823122</c:v>
                </c:pt>
                <c:pt idx="59">
                  <c:v>0.91644238428307068</c:v>
                </c:pt>
                <c:pt idx="60">
                  <c:v>0.91880860021615118</c:v>
                </c:pt>
                <c:pt idx="61">
                  <c:v>0.92111072984266951</c:v>
                </c:pt>
                <c:pt idx="62">
                  <c:v>0.9233503407165764</c:v>
                </c:pt>
                <c:pt idx="63">
                  <c:v>0.92552897191586625</c:v>
                </c:pt>
                <c:pt idx="64">
                  <c:v>0.92764813393984713</c:v>
                </c:pt>
                <c:pt idx="65">
                  <c:v>0.92970930865817825</c:v>
                </c:pt>
                <c:pt idx="66">
                  <c:v>0.93171394930477203</c:v>
                </c:pt>
                <c:pt idx="67">
                  <c:v>0.93366348051640435</c:v>
                </c:pt>
                <c:pt idx="68">
                  <c:v>0.93555929840992835</c:v>
                </c:pt>
                <c:pt idx="69">
                  <c:v>0.93740277069636047</c:v>
                </c:pt>
                <c:pt idx="70">
                  <c:v>0.93919523683038852</c:v>
                </c:pt>
                <c:pt idx="71">
                  <c:v>0.94093800818824058</c:v>
                </c:pt>
                <c:pt idx="72">
                  <c:v>0.94263236827656849</c:v>
                </c:pt>
                <c:pt idx="73">
                  <c:v>0.94427957296640819</c:v>
                </c:pt>
                <c:pt idx="74">
                  <c:v>0.94588085075054262</c:v>
                </c:pt>
                <c:pt idx="75">
                  <c:v>0.94743740302320367</c:v>
                </c:pt>
                <c:pt idx="76">
                  <c:v>0.94895040437853351</c:v>
                </c:pt>
                <c:pt idx="77">
                  <c:v>0.95042100292743781</c:v>
                </c:pt>
                <c:pt idx="78">
                  <c:v>0.95185032062879726</c:v>
                </c:pt>
                <c:pt idx="79">
                  <c:v>0.95323945363707863</c:v>
                </c:pt>
                <c:pt idx="80">
                  <c:v>0.95458947265934424</c:v>
                </c:pt>
                <c:pt idx="81">
                  <c:v>0.95590142332587225</c:v>
                </c:pt>
                <c:pt idx="82">
                  <c:v>0.95717632656855711</c:v>
                </c:pt>
                <c:pt idx="83">
                  <c:v>0.95841517900825646</c:v>
                </c:pt>
                <c:pt idx="84">
                  <c:v>0.959618953349334</c:v>
                </c:pt>
                <c:pt idx="85">
                  <c:v>0.96078859877888312</c:v>
                </c:pt>
                <c:pt idx="86">
                  <c:v>0.96192504137203394</c:v>
                </c:pt>
                <c:pt idx="87">
                  <c:v>0.96302918450032815</c:v>
                </c:pt>
                <c:pt idx="88">
                  <c:v>0.96410190924274475</c:v>
                </c:pt>
                <c:pt idx="89">
                  <c:v>0.96514407479927555</c:v>
                </c:pt>
                <c:pt idx="90">
                  <c:v>0.96615651890490162</c:v>
                </c:pt>
                <c:pt idx="91">
                  <c:v>0.96714005824508276</c:v>
                </c:pt>
                <c:pt idx="92">
                  <c:v>0.9680954888697294</c:v>
                </c:pt>
                <c:pt idx="93">
                  <c:v>0.96902358660719878</c:v>
                </c:pt>
                <c:pt idx="94">
                  <c:v>0.96992510747647598</c:v>
                </c:pt>
                <c:pt idx="95">
                  <c:v>0.97080078809774106</c:v>
                </c:pt>
                <c:pt idx="96">
                  <c:v>0.97165134609955583</c:v>
                </c:pt>
                <c:pt idx="97">
                  <c:v>0.97247748052421301</c:v>
                </c:pt>
                <c:pt idx="98">
                  <c:v>0.9732798722294933</c:v>
                </c:pt>
                <c:pt idx="99">
                  <c:v>0.97405918428589244</c:v>
                </c:pt>
                <c:pt idx="100">
                  <c:v>0.97481606237092899</c:v>
                </c:pt>
                <c:pt idx="101">
                  <c:v>0.97555113515887437</c:v>
                </c:pt>
                <c:pt idx="102">
                  <c:v>0.9762650147052323</c:v>
                </c:pt>
                <c:pt idx="103">
                  <c:v>0.97695829682722457</c:v>
                </c:pt>
                <c:pt idx="104">
                  <c:v>0.97763156147875951</c:v>
                </c:pt>
                <c:pt idx="105">
                  <c:v>0.97828537312022523</c:v>
                </c:pt>
                <c:pt idx="106">
                  <c:v>0.97892028108343865</c:v>
                </c:pt>
                <c:pt idx="107">
                  <c:v>0.97953681992950259</c:v>
                </c:pt>
                <c:pt idx="108">
                  <c:v>0.98013550980353004</c:v>
                </c:pt>
                <c:pt idx="109">
                  <c:v>0.98071685678105269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6-44EA-825E-041A5381D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867103"/>
        <c:axId val="19718679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Sheet1!$L$1</c15:sqref>
                        </c15:formulaRef>
                      </c:ext>
                    </c:extLst>
                    <c:strCache>
                      <c:ptCount val="1"/>
                      <c:pt idx="0">
                        <c:v>Optimal Release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Sheet1!$L$2:$L$112</c15:sqref>
                        </c15:formulaRef>
                      </c:ext>
                    </c:extLst>
                    <c:numCache>
                      <c:formatCode>General</c:formatCode>
                      <c:ptCount val="1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Sheet1!$L$2:$L$114</c15:sqref>
                        </c15:formulaRef>
                      </c:ext>
                    </c:extLst>
                    <c:numCache>
                      <c:formatCode>General</c:formatCode>
                      <c:ptCount val="1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7B6-44EA-825E-041A5381D9AF}"/>
                  </c:ext>
                </c:extLst>
              </c15:ser>
            </c15:filteredLineSeries>
          </c:ext>
        </c:extLst>
      </c:lineChart>
      <c:catAx>
        <c:axId val="1971867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Optimal</a:t>
                </a:r>
                <a:r>
                  <a:rPr lang="en-US" baseline="0"/>
                  <a:t> Release Time (T*)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67935"/>
        <c:crosses val="autoZero"/>
        <c:auto val="1"/>
        <c:lblAlgn val="ctr"/>
        <c:lblOffset val="100"/>
        <c:noMultiLvlLbl val="0"/>
      </c:catAx>
      <c:valAx>
        <c:axId val="197186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R(T)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6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514349</xdr:colOff>
      <xdr:row>6</xdr:row>
      <xdr:rowOff>47626</xdr:rowOff>
    </xdr:from>
    <xdr:ext cx="2505075" cy="3620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0763249" y="1190626"/>
              <a:ext cx="2505075" cy="3620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481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𝛽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481×111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𝑒</m:t>
                                </m:r>
                              </m:e>
                              <m:sup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𝛽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 ×111</m:t>
                                    </m:r>
                                  </m:e>
                                </m:d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−14052=0</m:t>
                    </m:r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0763249" y="1190626"/>
              <a:ext cx="2505075" cy="3620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(481/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𝛽1)−((481×111)/(𝑒^((𝛽1 ×111) )−1))−14052=0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533400</xdr:colOff>
      <xdr:row>9</xdr:row>
      <xdr:rowOff>28575</xdr:rowOff>
    </xdr:from>
    <xdr:ext cx="1809726" cy="4974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10782300" y="1743075"/>
              <a:ext cx="1809726" cy="4974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481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−0.029998 ×111</m:t>
                                </m:r>
                              </m:e>
                            </m:d>
                          </m:sup>
                        </m:sSup>
                      </m:den>
                    </m:f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0782300" y="1743075"/>
              <a:ext cx="1809726" cy="4974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2=481/(1−𝑒^((−0.029998 ×111) ) )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571500</xdr:colOff>
      <xdr:row>9</xdr:row>
      <xdr:rowOff>114300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571500</xdr:colOff>
      <xdr:row>9</xdr:row>
      <xdr:rowOff>114300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943600" y="1828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13</xdr:col>
      <xdr:colOff>465666</xdr:colOff>
      <xdr:row>22</xdr:row>
      <xdr:rowOff>169334</xdr:rowOff>
    </xdr:from>
    <xdr:to>
      <xdr:col>21</xdr:col>
      <xdr:colOff>221510</xdr:colOff>
      <xdr:row>37</xdr:row>
      <xdr:rowOff>158416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594980</xdr:colOff>
      <xdr:row>12</xdr:row>
      <xdr:rowOff>151956</xdr:rowOff>
    </xdr:from>
    <xdr:ext cx="3977564" cy="425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13398352" y="2411375"/>
              <a:ext cx="3977564" cy="4255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𝑐𝑜𝑠𝑡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 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111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 ×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111</m:t>
                                </m:r>
                              </m:e>
                            </m:d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 ×111</m:t>
                        </m:r>
                      </m:e>
                    </m:d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13398352" y="2411375"/>
              <a:ext cx="3977564" cy="4255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𝑐𝑜𝑠𝑡(𝑡)=(𝑐1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×𝑚(111))+(𝑐2 ×(𝑎−𝑚(111)))+(𝑐3 ×111)</a:t>
              </a:r>
              <a:endParaRPr lang="en-US" sz="1100" b="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13</xdr:col>
      <xdr:colOff>28796</xdr:colOff>
      <xdr:row>39</xdr:row>
      <xdr:rowOff>68226</xdr:rowOff>
    </xdr:from>
    <xdr:to>
      <xdr:col>20</xdr:col>
      <xdr:colOff>166132</xdr:colOff>
      <xdr:row>54</xdr:row>
      <xdr:rowOff>143982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593440</xdr:colOff>
      <xdr:row>22</xdr:row>
      <xdr:rowOff>166232</xdr:rowOff>
    </xdr:from>
    <xdr:to>
      <xdr:col>32</xdr:col>
      <xdr:colOff>0</xdr:colOff>
      <xdr:row>38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14</xdr:col>
      <xdr:colOff>936511</xdr:colOff>
      <xdr:row>61</xdr:row>
      <xdr:rowOff>0</xdr:rowOff>
    </xdr:from>
    <xdr:ext cx="316264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12460060" y="11412991"/>
              <a:ext cx="316264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/>
                <a:t>T*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𝑏</m:t>
                          </m:r>
                        </m:den>
                      </m:f>
                    </m:e>
                  </m:d>
                  <m:r>
                    <m:rPr>
                      <m:sty m:val="p"/>
                    </m:rPr>
                    <a:rPr lang="en-US" sz="1100" b="0" i="0">
                      <a:latin typeface="Cambria Math" panose="02040503050406030204" pitchFamily="18" charset="0"/>
                    </a:rPr>
                    <m:t>ln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⁡((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𝑎𝑏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1100"/>
                <a:t>/c3)</a:t>
              </a:r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12460060" y="11412991"/>
              <a:ext cx="316264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/>
                <a:t>T*</a:t>
              </a:r>
              <a:r>
                <a:rPr lang="en-US" sz="1100" b="0" i="0">
                  <a:latin typeface="Cambria Math" panose="02040503050406030204" pitchFamily="18" charset="0"/>
                </a:rPr>
                <a:t>=(1/𝑏)ln⁡((𝑎𝑏(𝑐2−𝑐1))</a:t>
              </a:r>
              <a:r>
                <a:rPr lang="en-US" sz="1100"/>
                <a:t>/c3)</a:t>
              </a:r>
            </a:p>
          </xdr:txBody>
        </xdr:sp>
      </mc:Fallback>
    </mc:AlternateContent>
    <xdr:clientData/>
  </xdr:oneCellAnchor>
  <xdr:twoCellAnchor>
    <xdr:from>
      <xdr:col>25</xdr:col>
      <xdr:colOff>296078</xdr:colOff>
      <xdr:row>3</xdr:row>
      <xdr:rowOff>80331</xdr:rowOff>
    </xdr:from>
    <xdr:to>
      <xdr:col>33</xdr:col>
      <xdr:colOff>298372</xdr:colOff>
      <xdr:row>18</xdr:row>
      <xdr:rowOff>74823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4"/>
  <sheetViews>
    <sheetView tabSelected="1" topLeftCell="I1" zoomScale="97" zoomScaleNormal="83" workbookViewId="0">
      <selection activeCell="J2" sqref="J2"/>
    </sheetView>
  </sheetViews>
  <sheetFormatPr defaultRowHeight="15" x14ac:dyDescent="0.25"/>
  <cols>
    <col min="1" max="1" width="20.5703125" style="28" customWidth="1"/>
    <col min="2" max="2" width="8.85546875" style="28" bestFit="1" customWidth="1"/>
    <col min="3" max="3" width="23.42578125" style="28" customWidth="1"/>
    <col min="4" max="8" width="8.85546875" bestFit="1" customWidth="1"/>
    <col min="9" max="9" width="12.140625" bestFit="1" customWidth="1"/>
    <col min="10" max="10" width="22.140625" style="3" customWidth="1"/>
    <col min="11" max="11" width="21.140625" style="5" customWidth="1"/>
    <col min="12" max="12" width="22" customWidth="1"/>
    <col min="15" max="15" width="18.140625" customWidth="1"/>
    <col min="16" max="16" width="30" customWidth="1"/>
    <col min="17" max="17" width="8.85546875" bestFit="1" customWidth="1"/>
    <col min="18" max="18" width="11.42578125" customWidth="1"/>
    <col min="19" max="20" width="15.85546875" customWidth="1"/>
    <col min="21" max="21" width="10.85546875" bestFit="1" customWidth="1"/>
    <col min="24" max="24" width="15.140625" customWidth="1"/>
    <col min="25" max="25" width="8.85546875" bestFit="1" customWidth="1"/>
  </cols>
  <sheetData>
    <row r="1" spans="1:16" s="9" customFormat="1" x14ac:dyDescent="0.25">
      <c r="A1" s="27" t="s">
        <v>0</v>
      </c>
      <c r="B1" s="27" t="s">
        <v>1</v>
      </c>
      <c r="C1" s="27" t="s">
        <v>2</v>
      </c>
      <c r="D1" s="21" t="s">
        <v>18</v>
      </c>
      <c r="E1" s="21" t="s">
        <v>19</v>
      </c>
      <c r="F1" s="21" t="s">
        <v>20</v>
      </c>
      <c r="G1" s="21" t="s">
        <v>26</v>
      </c>
      <c r="H1" s="21" t="s">
        <v>27</v>
      </c>
      <c r="I1" s="21" t="s">
        <v>21</v>
      </c>
      <c r="J1" s="22" t="s">
        <v>47</v>
      </c>
      <c r="K1" s="22" t="s">
        <v>33</v>
      </c>
      <c r="L1" s="21" t="s">
        <v>43</v>
      </c>
      <c r="M1" s="9" t="s">
        <v>44</v>
      </c>
      <c r="O1" s="11" t="s">
        <v>12</v>
      </c>
      <c r="P1" s="12">
        <v>10</v>
      </c>
    </row>
    <row r="2" spans="1:16" x14ac:dyDescent="0.25">
      <c r="A2" s="27">
        <v>1</v>
      </c>
      <c r="B2" s="27">
        <v>5</v>
      </c>
      <c r="C2" s="27">
        <v>5</v>
      </c>
      <c r="D2">
        <f>A2*B2</f>
        <v>5</v>
      </c>
      <c r="E2">
        <f t="shared" ref="E2:E33" si="0">P$10*(1-EXP(-P$9*A2))</f>
        <v>14.742525124976703</v>
      </c>
      <c r="F2">
        <f t="shared" ref="F2:F33" si="1">P$9*P$10*EXP(-P$9*A2)</f>
        <v>14.522508103464004</v>
      </c>
      <c r="G2">
        <f>111+A2</f>
        <v>112</v>
      </c>
      <c r="H2">
        <f t="shared" ref="H2:H33" si="2">P$10*(1-EXP(-P$9*G2))</f>
        <v>481.52764299387485</v>
      </c>
      <c r="I2">
        <f>EXP(-(H2-E$112))</f>
        <v>0.5898997775618714</v>
      </c>
      <c r="J2" s="2">
        <f t="shared" ref="J2:J33" si="3">(P$1*E2)+(P$2*(P$10-E2))+(P$3*A2)</f>
        <v>24553.284100000932</v>
      </c>
      <c r="K2" s="4">
        <f t="shared" ref="K2:K33" si="4">(P$1*E2)+(P$2*(P$10-A2))+(Y$18*A2)</f>
        <v>26040.410356249766</v>
      </c>
      <c r="L2" s="1">
        <v>1</v>
      </c>
      <c r="M2">
        <f>EXP(-(H3-H2))</f>
        <v>0.59917308517712731</v>
      </c>
      <c r="O2" s="6" t="s">
        <v>13</v>
      </c>
      <c r="P2" s="7">
        <v>50</v>
      </c>
    </row>
    <row r="3" spans="1:16" x14ac:dyDescent="0.25">
      <c r="A3" s="27">
        <v>2</v>
      </c>
      <c r="B3" s="27">
        <v>5</v>
      </c>
      <c r="C3" s="27">
        <v>10</v>
      </c>
      <c r="D3">
        <f t="shared" ref="D3:D66" si="5">A3*B3</f>
        <v>10</v>
      </c>
      <c r="E3">
        <f t="shared" si="0"/>
        <v>29.049372551102106</v>
      </c>
      <c r="F3">
        <f t="shared" si="1"/>
        <v>14.09333244607631</v>
      </c>
      <c r="G3">
        <f t="shared" ref="G3:G66" si="6">111+A3</f>
        <v>113</v>
      </c>
      <c r="H3">
        <f t="shared" si="2"/>
        <v>482.03984775959151</v>
      </c>
      <c r="I3">
        <f t="shared" ref="I3:I66" si="7">EXP(-(H3-E$112))</f>
        <v>0.35345206966704762</v>
      </c>
      <c r="J3" s="2">
        <f t="shared" si="3"/>
        <v>24181.010202955913</v>
      </c>
      <c r="K3" s="4">
        <f t="shared" si="4"/>
        <v>27133.47883051102</v>
      </c>
      <c r="L3" s="1">
        <v>2</v>
      </c>
      <c r="M3">
        <f>EXP(-(H4-H3))</f>
        <v>0.60831170158718917</v>
      </c>
      <c r="O3" s="15" t="s">
        <v>14</v>
      </c>
      <c r="P3" s="16">
        <v>200</v>
      </c>
    </row>
    <row r="4" spans="1:16" x14ac:dyDescent="0.25">
      <c r="A4" s="27">
        <v>3</v>
      </c>
      <c r="B4" s="27">
        <v>5</v>
      </c>
      <c r="C4" s="27">
        <v>15</v>
      </c>
      <c r="D4">
        <f t="shared" si="5"/>
        <v>15</v>
      </c>
      <c r="E4">
        <f t="shared" si="0"/>
        <v>42.933417620671221</v>
      </c>
      <c r="F4">
        <f t="shared" si="1"/>
        <v>13.676839979745004</v>
      </c>
      <c r="G4">
        <f t="shared" si="6"/>
        <v>114</v>
      </c>
      <c r="H4">
        <f t="shared" si="2"/>
        <v>482.53691562089216</v>
      </c>
      <c r="I4">
        <f t="shared" si="7"/>
        <v>0.21500902992867546</v>
      </c>
      <c r="J4" s="2">
        <f t="shared" si="3"/>
        <v>23825.648400173151</v>
      </c>
      <c r="K4" s="4">
        <f t="shared" si="4"/>
        <v>28222.319281206714</v>
      </c>
      <c r="L4" s="1">
        <v>3</v>
      </c>
      <c r="M4">
        <f t="shared" ref="M4:M67" si="8">EXP(-(H5-H4))</f>
        <v>0.61731349440303362</v>
      </c>
    </row>
    <row r="5" spans="1:16" x14ac:dyDescent="0.25">
      <c r="A5" s="27">
        <v>4</v>
      </c>
      <c r="B5" s="27">
        <v>5</v>
      </c>
      <c r="C5" s="27">
        <v>20</v>
      </c>
      <c r="D5">
        <f t="shared" si="5"/>
        <v>20</v>
      </c>
      <c r="E5">
        <f t="shared" si="0"/>
        <v>56.407155178102578</v>
      </c>
      <c r="F5">
        <f t="shared" si="1"/>
        <v>13.272655885133052</v>
      </c>
      <c r="G5">
        <f t="shared" si="6"/>
        <v>115</v>
      </c>
      <c r="H5">
        <f t="shared" si="2"/>
        <v>483.01929391034884</v>
      </c>
      <c r="I5">
        <f t="shared" si="7"/>
        <v>0.1327279755934771</v>
      </c>
      <c r="J5" s="2">
        <f t="shared" si="3"/>
        <v>23486.698897875893</v>
      </c>
      <c r="K5" s="4">
        <f t="shared" si="4"/>
        <v>29307.056656781024</v>
      </c>
      <c r="L5" s="1">
        <v>4</v>
      </c>
      <c r="M5">
        <f t="shared" si="8"/>
        <v>0.62617660540290221</v>
      </c>
      <c r="O5" t="s">
        <v>3</v>
      </c>
      <c r="P5">
        <v>481</v>
      </c>
    </row>
    <row r="6" spans="1:16" x14ac:dyDescent="0.25">
      <c r="A6" s="27">
        <v>5</v>
      </c>
      <c r="B6" s="27">
        <v>6</v>
      </c>
      <c r="C6" s="27">
        <v>26</v>
      </c>
      <c r="D6">
        <f t="shared" si="5"/>
        <v>30</v>
      </c>
      <c r="E6">
        <f t="shared" si="0"/>
        <v>69.482710814581793</v>
      </c>
      <c r="F6">
        <f t="shared" si="1"/>
        <v>12.880416419732178</v>
      </c>
      <c r="G6">
        <f t="shared" si="6"/>
        <v>116</v>
      </c>
      <c r="H6">
        <f t="shared" si="2"/>
        <v>483.48741674076143</v>
      </c>
      <c r="I6">
        <f t="shared" si="7"/>
        <v>8.3111153199122739E-2</v>
      </c>
      <c r="J6" s="2">
        <f t="shared" si="3"/>
        <v>23163.676672416728</v>
      </c>
      <c r="K6" s="4">
        <f t="shared" si="4"/>
        <v>30387.812213145819</v>
      </c>
      <c r="L6" s="1">
        <v>5</v>
      </c>
      <c r="M6">
        <f t="shared" si="8"/>
        <v>0.63489943984907471</v>
      </c>
      <c r="O6" t="s">
        <v>4</v>
      </c>
      <c r="P6">
        <v>111</v>
      </c>
    </row>
    <row r="7" spans="1:16" x14ac:dyDescent="0.25">
      <c r="A7" s="27">
        <v>6</v>
      </c>
      <c r="B7" s="27">
        <v>8</v>
      </c>
      <c r="C7" s="27">
        <v>34</v>
      </c>
      <c r="D7">
        <f t="shared" si="5"/>
        <v>48</v>
      </c>
      <c r="E7">
        <f t="shared" si="0"/>
        <v>82.171851780398399</v>
      </c>
      <c r="F7">
        <f t="shared" si="1"/>
        <v>12.499768590515458</v>
      </c>
      <c r="G7">
        <f t="shared" si="6"/>
        <v>117</v>
      </c>
      <c r="H7">
        <f t="shared" si="2"/>
        <v>483.94170539583394</v>
      </c>
      <c r="I7">
        <f t="shared" si="7"/>
        <v>5.2767224611333666E-2</v>
      </c>
      <c r="J7" s="2">
        <f t="shared" si="3"/>
        <v>22856.111033784062</v>
      </c>
      <c r="K7" s="4">
        <f t="shared" si="4"/>
        <v>31464.703622803983</v>
      </c>
      <c r="L7" s="1">
        <v>6</v>
      </c>
      <c r="M7">
        <f t="shared" si="8"/>
        <v>0.64348065569871915</v>
      </c>
      <c r="O7" t="s">
        <v>5</v>
      </c>
      <c r="P7">
        <f>D114</f>
        <v>14052</v>
      </c>
    </row>
    <row r="8" spans="1:16" x14ac:dyDescent="0.25">
      <c r="A8" s="27">
        <v>7</v>
      </c>
      <c r="B8" s="27">
        <v>2</v>
      </c>
      <c r="C8" s="27">
        <v>36</v>
      </c>
      <c r="D8">
        <f t="shared" si="5"/>
        <v>14</v>
      </c>
      <c r="E8">
        <f t="shared" si="0"/>
        <v>94.485997574796201</v>
      </c>
      <c r="F8">
        <f t="shared" si="1"/>
        <v>12.130369836263849</v>
      </c>
      <c r="G8">
        <f t="shared" si="6"/>
        <v>118</v>
      </c>
      <c r="H8">
        <f t="shared" si="2"/>
        <v>484.38256870930599</v>
      </c>
      <c r="I8">
        <f t="shared" si="7"/>
        <v>3.3954688292302582E-2</v>
      </c>
      <c r="J8" s="2">
        <f t="shared" si="3"/>
        <v>22563.54520200815</v>
      </c>
      <c r="K8" s="4">
        <f t="shared" si="4"/>
        <v>32537.84508074796</v>
      </c>
      <c r="L8" s="1">
        <v>7</v>
      </c>
      <c r="M8">
        <f t="shared" si="8"/>
        <v>0.65191915276308654</v>
      </c>
    </row>
    <row r="9" spans="1:16" x14ac:dyDescent="0.25">
      <c r="A9" s="27">
        <v>8</v>
      </c>
      <c r="B9" s="27">
        <v>7</v>
      </c>
      <c r="C9" s="27">
        <v>43</v>
      </c>
      <c r="D9">
        <f t="shared" si="5"/>
        <v>56</v>
      </c>
      <c r="E9">
        <f t="shared" si="0"/>
        <v>106.43623022286786</v>
      </c>
      <c r="F9">
        <f t="shared" si="1"/>
        <v>11.771887719280723</v>
      </c>
      <c r="G9">
        <f t="shared" si="6"/>
        <v>119</v>
      </c>
      <c r="H9">
        <f t="shared" si="2"/>
        <v>484.81040343287958</v>
      </c>
      <c r="I9">
        <f t="shared" si="7"/>
        <v>2.213571162385259E-2</v>
      </c>
      <c r="J9" s="2">
        <f t="shared" si="3"/>
        <v>22285.535896085283</v>
      </c>
      <c r="K9" s="4">
        <f t="shared" si="4"/>
        <v>33607.347407228677</v>
      </c>
      <c r="L9" s="1">
        <v>8</v>
      </c>
      <c r="M9">
        <f t="shared" si="8"/>
        <v>0.66021406186165144</v>
      </c>
      <c r="N9" t="s">
        <v>10</v>
      </c>
      <c r="O9" t="s">
        <v>7</v>
      </c>
      <c r="P9">
        <v>2.9997919500000001E-2</v>
      </c>
    </row>
    <row r="10" spans="1:16" x14ac:dyDescent="0.25">
      <c r="A10" s="27">
        <v>9</v>
      </c>
      <c r="B10" s="27">
        <v>4</v>
      </c>
      <c r="C10" s="27">
        <v>47</v>
      </c>
      <c r="D10">
        <f t="shared" si="5"/>
        <v>36</v>
      </c>
      <c r="E10">
        <f t="shared" si="0"/>
        <v>118.03330424874197</v>
      </c>
      <c r="F10">
        <f t="shared" si="1"/>
        <v>11.423999626217013</v>
      </c>
      <c r="G10">
        <f t="shared" si="6"/>
        <v>120</v>
      </c>
      <c r="H10">
        <f t="shared" si="2"/>
        <v>485.22559459327283</v>
      </c>
      <c r="I10">
        <f t="shared" si="7"/>
        <v>1.4614308083381889E-2</v>
      </c>
      <c r="J10" s="2">
        <f t="shared" si="3"/>
        <v>22021.652935050319</v>
      </c>
      <c r="K10" s="4">
        <f t="shared" si="4"/>
        <v>34673.318147487415</v>
      </c>
      <c r="L10" s="1">
        <v>9</v>
      </c>
      <c r="M10">
        <f t="shared" si="8"/>
        <v>0.66836473401532526</v>
      </c>
      <c r="N10" t="s">
        <v>9</v>
      </c>
      <c r="O10" t="s">
        <v>6</v>
      </c>
      <c r="P10">
        <v>498.85970209999999</v>
      </c>
    </row>
    <row r="11" spans="1:16" x14ac:dyDescent="0.25">
      <c r="A11" s="27">
        <v>10</v>
      </c>
      <c r="B11" s="27">
        <v>2</v>
      </c>
      <c r="C11" s="27">
        <v>49</v>
      </c>
      <c r="D11">
        <f t="shared" si="5"/>
        <v>20</v>
      </c>
      <c r="E11">
        <f t="shared" si="0"/>
        <v>129.28765635403815</v>
      </c>
      <c r="F11">
        <f t="shared" si="1"/>
        <v>11.086392477737682</v>
      </c>
      <c r="G11">
        <f t="shared" si="6"/>
        <v>121</v>
      </c>
      <c r="H11">
        <f t="shared" si="2"/>
        <v>485.62851583872202</v>
      </c>
      <c r="I11">
        <f t="shared" si="7"/>
        <v>9.7676881349675546E-3</v>
      </c>
      <c r="J11" s="2">
        <f t="shared" si="3"/>
        <v>21771.478850838474</v>
      </c>
      <c r="K11" s="4">
        <f t="shared" si="4"/>
        <v>35735.861668540383</v>
      </c>
      <c r="L11" s="1">
        <v>10</v>
      </c>
      <c r="M11">
        <f t="shared" si="8"/>
        <v>0.67637072971826051</v>
      </c>
      <c r="O11" t="s">
        <v>11</v>
      </c>
      <c r="P11">
        <v>111</v>
      </c>
    </row>
    <row r="12" spans="1:16" x14ac:dyDescent="0.25">
      <c r="A12" s="27">
        <v>11</v>
      </c>
      <c r="B12" s="27">
        <v>31</v>
      </c>
      <c r="C12" s="27">
        <v>80</v>
      </c>
      <c r="D12">
        <f t="shared" si="5"/>
        <v>341</v>
      </c>
      <c r="E12">
        <f t="shared" si="0"/>
        <v>140.20941481029988</v>
      </c>
      <c r="F12">
        <f t="shared" si="1"/>
        <v>10.758762446768298</v>
      </c>
      <c r="G12">
        <f t="shared" si="6"/>
        <v>122</v>
      </c>
      <c r="H12">
        <f t="shared" si="2"/>
        <v>486.01952977524371</v>
      </c>
      <c r="I12">
        <f t="shared" si="7"/>
        <v>6.6065783515084006E-3</v>
      </c>
      <c r="J12" s="2">
        <f t="shared" si="3"/>
        <v>21534.608512588005</v>
      </c>
      <c r="K12" s="4">
        <f t="shared" si="4"/>
        <v>36795.079253103002</v>
      </c>
      <c r="L12" s="1">
        <v>11</v>
      </c>
      <c r="M12">
        <f t="shared" si="8"/>
        <v>0.68423180832389707</v>
      </c>
      <c r="P12" t="s">
        <v>22</v>
      </c>
    </row>
    <row r="13" spans="1:16" x14ac:dyDescent="0.25">
      <c r="A13" s="27">
        <v>12</v>
      </c>
      <c r="B13" s="27">
        <v>4</v>
      </c>
      <c r="C13" s="27">
        <v>84</v>
      </c>
      <c r="D13">
        <f t="shared" si="5"/>
        <v>48</v>
      </c>
      <c r="E13">
        <f t="shared" si="0"/>
        <v>150.80840857385832</v>
      </c>
      <c r="F13">
        <f t="shared" si="1"/>
        <v>10.440814685068069</v>
      </c>
      <c r="G13">
        <f t="shared" si="6"/>
        <v>123</v>
      </c>
      <c r="H13">
        <f t="shared" si="2"/>
        <v>486.39898829295896</v>
      </c>
      <c r="I13">
        <f t="shared" si="7"/>
        <v>4.5204310522861035E-3</v>
      </c>
      <c r="J13" s="2">
        <f t="shared" si="3"/>
        <v>21310.648762045668</v>
      </c>
      <c r="K13" s="4">
        <f t="shared" si="4"/>
        <v>37851.069190738584</v>
      </c>
      <c r="L13" s="1">
        <v>12</v>
      </c>
      <c r="M13">
        <f t="shared" si="8"/>
        <v>0.69194791757574037</v>
      </c>
      <c r="O13" t="s">
        <v>15</v>
      </c>
      <c r="P13">
        <f>P10*(1-EXP(-P9*111))</f>
        <v>480.99984036882398</v>
      </c>
    </row>
    <row r="14" spans="1:16" x14ac:dyDescent="0.25">
      <c r="A14" s="27">
        <v>13</v>
      </c>
      <c r="B14" s="27">
        <v>24</v>
      </c>
      <c r="C14" s="27">
        <v>108</v>
      </c>
      <c r="D14">
        <f t="shared" si="5"/>
        <v>312</v>
      </c>
      <c r="E14">
        <f t="shared" si="0"/>
        <v>161.09417613132922</v>
      </c>
      <c r="F14">
        <f t="shared" si="1"/>
        <v>10.132263057883346</v>
      </c>
      <c r="G14">
        <f t="shared" si="6"/>
        <v>124</v>
      </c>
      <c r="H14">
        <f t="shared" si="2"/>
        <v>486.76723288277475</v>
      </c>
      <c r="I14">
        <f t="shared" si="7"/>
        <v>3.1279028531740823E-3</v>
      </c>
      <c r="J14" s="2">
        <f t="shared" si="3"/>
        <v>21099.218059746832</v>
      </c>
      <c r="K14" s="4">
        <f t="shared" si="4"/>
        <v>38903.926866313297</v>
      </c>
      <c r="L14" s="1">
        <v>13</v>
      </c>
      <c r="M14">
        <f t="shared" si="8"/>
        <v>0.69951918331287177</v>
      </c>
      <c r="O14" t="s">
        <v>16</v>
      </c>
      <c r="P14">
        <f>P10-P13</f>
        <v>17.859861731176011</v>
      </c>
    </row>
    <row r="15" spans="1:16" x14ac:dyDescent="0.25">
      <c r="A15" s="27">
        <v>14</v>
      </c>
      <c r="B15" s="27">
        <v>49</v>
      </c>
      <c r="C15" s="27">
        <v>157</v>
      </c>
      <c r="D15">
        <f t="shared" si="5"/>
        <v>686</v>
      </c>
      <c r="E15">
        <f t="shared" si="0"/>
        <v>171.07597408370407</v>
      </c>
      <c r="F15">
        <f t="shared" si="1"/>
        <v>9.8328298864427399</v>
      </c>
      <c r="G15">
        <f t="shared" si="6"/>
        <v>125</v>
      </c>
      <c r="H15">
        <f t="shared" si="2"/>
        <v>487.12459494370592</v>
      </c>
      <c r="I15">
        <f t="shared" si="7"/>
        <v>2.1880280493343351E-3</v>
      </c>
      <c r="J15" s="2">
        <f t="shared" si="3"/>
        <v>20899.946141651839</v>
      </c>
      <c r="K15" s="4">
        <f t="shared" si="4"/>
        <v>39953.744845837042</v>
      </c>
      <c r="L15" s="1">
        <v>14</v>
      </c>
      <c r="M15">
        <f t="shared" si="8"/>
        <v>0.70694589937313146</v>
      </c>
    </row>
    <row r="16" spans="1:16" x14ac:dyDescent="0.25">
      <c r="A16" s="27">
        <v>15</v>
      </c>
      <c r="B16" s="27">
        <v>14</v>
      </c>
      <c r="C16" s="27">
        <v>171</v>
      </c>
      <c r="D16">
        <f t="shared" si="5"/>
        <v>210</v>
      </c>
      <c r="E16">
        <f t="shared" si="0"/>
        <v>180.76278547676</v>
      </c>
      <c r="F16">
        <f t="shared" si="1"/>
        <v>9.5422456980621657</v>
      </c>
      <c r="G16">
        <f t="shared" si="6"/>
        <v>126</v>
      </c>
      <c r="H16">
        <f t="shared" si="2"/>
        <v>487.47139608111524</v>
      </c>
      <c r="I16">
        <f t="shared" si="7"/>
        <v>1.5468174571903E-3</v>
      </c>
      <c r="J16" s="2">
        <f t="shared" si="3"/>
        <v>20712.473685929599</v>
      </c>
      <c r="K16" s="4">
        <f t="shared" si="4"/>
        <v>41000.612959767604</v>
      </c>
      <c r="L16" s="1">
        <v>15</v>
      </c>
      <c r="M16">
        <f t="shared" si="8"/>
        <v>0.71422851771615226</v>
      </c>
      <c r="O16" s="6" t="s">
        <v>17</v>
      </c>
      <c r="P16" s="8">
        <f>(P1*P13)+(P2*P14)+(P3*P11)</f>
        <v>27902.991490247041</v>
      </c>
    </row>
    <row r="17" spans="1:31" x14ac:dyDescent="0.25">
      <c r="A17" s="27">
        <v>16</v>
      </c>
      <c r="B17" s="27">
        <v>12</v>
      </c>
      <c r="C17" s="27">
        <v>183</v>
      </c>
      <c r="D17">
        <f t="shared" si="5"/>
        <v>192</v>
      </c>
      <c r="E17">
        <f t="shared" si="0"/>
        <v>190.16332788528607</v>
      </c>
      <c r="F17">
        <f t="shared" si="1"/>
        <v>9.2602489836348649</v>
      </c>
      <c r="G17">
        <f t="shared" si="6"/>
        <v>127</v>
      </c>
      <c r="H17">
        <f t="shared" si="2"/>
        <v>487.80794839614003</v>
      </c>
      <c r="I17">
        <f>EXP(-(H17-E$112))</f>
        <v>1.1047811396264957E-3</v>
      </c>
      <c r="J17" s="2">
        <f t="shared" si="3"/>
        <v>20536.451989588557</v>
      </c>
      <c r="K17" s="4">
        <f t="shared" si="4"/>
        <v>42044.61838385286</v>
      </c>
      <c r="L17" s="1">
        <v>16</v>
      </c>
      <c r="M17">
        <f t="shared" si="8"/>
        <v>0.72136763878509269</v>
      </c>
    </row>
    <row r="18" spans="1:31" x14ac:dyDescent="0.25">
      <c r="A18" s="27">
        <v>17</v>
      </c>
      <c r="B18" s="27">
        <v>8</v>
      </c>
      <c r="C18" s="27">
        <v>191</v>
      </c>
      <c r="D18">
        <f t="shared" si="5"/>
        <v>136</v>
      </c>
      <c r="E18">
        <f t="shared" si="0"/>
        <v>199.28606125840059</v>
      </c>
      <c r="F18">
        <f t="shared" si="1"/>
        <v>8.9865859622882116</v>
      </c>
      <c r="G18">
        <f t="shared" si="6"/>
        <v>128</v>
      </c>
      <c r="H18">
        <f t="shared" si="2"/>
        <v>488.13455476656509</v>
      </c>
      <c r="I18">
        <f t="shared" si="7"/>
        <v>7.9695336206666906E-4</v>
      </c>
      <c r="J18" s="2">
        <f t="shared" si="3"/>
        <v>20371.542654663976</v>
      </c>
      <c r="K18" s="4">
        <f t="shared" si="4"/>
        <v>43085.845717584001</v>
      </c>
      <c r="L18" s="1">
        <v>17</v>
      </c>
      <c r="M18">
        <f t="shared" si="8"/>
        <v>0.72836400212209307</v>
      </c>
      <c r="O18" s="6" t="s">
        <v>23</v>
      </c>
      <c r="P18" s="6">
        <f>P10*P9</f>
        <v>14.964753185389782</v>
      </c>
      <c r="X18" s="17" t="s">
        <v>28</v>
      </c>
      <c r="Y18" s="18">
        <v>1000</v>
      </c>
    </row>
    <row r="19" spans="1:31" x14ac:dyDescent="0.25">
      <c r="A19" s="27">
        <v>18</v>
      </c>
      <c r="B19" s="27">
        <v>9</v>
      </c>
      <c r="C19" s="27">
        <v>200</v>
      </c>
      <c r="D19">
        <f t="shared" si="5"/>
        <v>162</v>
      </c>
      <c r="E19">
        <f t="shared" si="0"/>
        <v>208.13919553302017</v>
      </c>
      <c r="F19">
        <f t="shared" si="1"/>
        <v>8.7210103529954832</v>
      </c>
      <c r="G19">
        <f t="shared" si="6"/>
        <v>129</v>
      </c>
      <c r="H19">
        <f t="shared" si="2"/>
        <v>488.45150911939538</v>
      </c>
      <c r="I19">
        <f t="shared" si="7"/>
        <v>5.8047214029953648E-4</v>
      </c>
      <c r="J19" s="2">
        <f t="shared" si="3"/>
        <v>20217.417283679191</v>
      </c>
      <c r="K19" s="4">
        <f t="shared" si="4"/>
        <v>44124.377060330196</v>
      </c>
      <c r="L19" s="1">
        <v>18</v>
      </c>
      <c r="M19">
        <f t="shared" si="8"/>
        <v>0.73521847725091882</v>
      </c>
      <c r="O19" s="6" t="s">
        <v>24</v>
      </c>
      <c r="P19" s="8">
        <f>P3/(P2-P1)</f>
        <v>5</v>
      </c>
      <c r="X19" t="s">
        <v>29</v>
      </c>
      <c r="Y19">
        <f>P18</f>
        <v>14.964753185389782</v>
      </c>
    </row>
    <row r="20" spans="1:31" ht="23.25" x14ac:dyDescent="0.35">
      <c r="A20" s="27">
        <v>19</v>
      </c>
      <c r="B20" s="27">
        <v>4</v>
      </c>
      <c r="C20" s="27">
        <v>204</v>
      </c>
      <c r="D20">
        <f t="shared" si="5"/>
        <v>76</v>
      </c>
      <c r="E20">
        <f t="shared" si="0"/>
        <v>216.73069802233229</v>
      </c>
      <c r="F20">
        <f t="shared" si="1"/>
        <v>8.4632831529370485</v>
      </c>
      <c r="G20">
        <f t="shared" si="6"/>
        <v>130</v>
      </c>
      <c r="H20">
        <f t="shared" si="2"/>
        <v>488.75909669537367</v>
      </c>
      <c r="I20">
        <f t="shared" si="7"/>
        <v>4.2677384307760694E-4</v>
      </c>
      <c r="J20" s="2">
        <f t="shared" si="3"/>
        <v>20073.757184106707</v>
      </c>
      <c r="K20" s="4">
        <f t="shared" si="4"/>
        <v>45160.292085223322</v>
      </c>
      <c r="L20" s="1">
        <v>19</v>
      </c>
      <c r="M20">
        <f t="shared" si="8"/>
        <v>0.74193205483800739</v>
      </c>
      <c r="P20" s="10" t="s">
        <v>25</v>
      </c>
      <c r="X20" s="13" t="s">
        <v>24</v>
      </c>
      <c r="Y20" s="14">
        <f>Y18/(P2-P1)</f>
        <v>25</v>
      </c>
    </row>
    <row r="21" spans="1:31" x14ac:dyDescent="0.25">
      <c r="A21" s="27">
        <v>20</v>
      </c>
      <c r="B21" s="27">
        <v>7</v>
      </c>
      <c r="C21" s="27">
        <v>211</v>
      </c>
      <c r="D21">
        <f t="shared" si="5"/>
        <v>140</v>
      </c>
      <c r="E21">
        <f t="shared" si="0"/>
        <v>225.06830058592024</v>
      </c>
      <c r="F21">
        <f t="shared" si="1"/>
        <v>8.2131724224115423</v>
      </c>
      <c r="G21">
        <f t="shared" si="6"/>
        <v>131</v>
      </c>
      <c r="H21">
        <f t="shared" si="2"/>
        <v>489.05759430568042</v>
      </c>
      <c r="I21">
        <f t="shared" si="7"/>
        <v>3.1663719434568227E-4</v>
      </c>
      <c r="J21" s="2">
        <f t="shared" si="3"/>
        <v>19940.253081563191</v>
      </c>
      <c r="K21" s="4">
        <f t="shared" si="4"/>
        <v>46193.668110859202</v>
      </c>
      <c r="L21" s="1">
        <v>20</v>
      </c>
      <c r="M21">
        <f t="shared" si="8"/>
        <v>0.74850583813907623</v>
      </c>
      <c r="X21" s="19"/>
      <c r="Y21" s="13" t="s">
        <v>30</v>
      </c>
    </row>
    <row r="22" spans="1:31" x14ac:dyDescent="0.25">
      <c r="A22" s="27">
        <v>21</v>
      </c>
      <c r="B22" s="27">
        <v>6</v>
      </c>
      <c r="C22" s="27">
        <v>217</v>
      </c>
      <c r="D22">
        <f t="shared" si="5"/>
        <v>126</v>
      </c>
      <c r="E22">
        <f t="shared" si="0"/>
        <v>233.15950658799332</v>
      </c>
      <c r="F22">
        <f t="shared" si="1"/>
        <v>7.9704530761034382</v>
      </c>
      <c r="G22">
        <f t="shared" si="6"/>
        <v>132</v>
      </c>
      <c r="H22">
        <f t="shared" si="2"/>
        <v>489.34727058104829</v>
      </c>
      <c r="I22">
        <f t="shared" si="7"/>
        <v>2.3700478853972047E-4</v>
      </c>
      <c r="J22" s="2">
        <f t="shared" si="3"/>
        <v>19816.604841480264</v>
      </c>
      <c r="K22" s="4">
        <f t="shared" si="4"/>
        <v>47224.580170879934</v>
      </c>
      <c r="L22" s="1">
        <v>21</v>
      </c>
      <c r="M22">
        <f t="shared" si="8"/>
        <v>0.75494103473913965</v>
      </c>
      <c r="X22" t="s">
        <v>31</v>
      </c>
      <c r="AE22" t="s">
        <v>22</v>
      </c>
    </row>
    <row r="23" spans="1:31" x14ac:dyDescent="0.25">
      <c r="A23" s="27">
        <v>22</v>
      </c>
      <c r="B23" s="27">
        <v>9</v>
      </c>
      <c r="C23" s="27">
        <v>226</v>
      </c>
      <c r="D23">
        <f t="shared" si="5"/>
        <v>198</v>
      </c>
      <c r="E23">
        <f t="shared" si="0"/>
        <v>241.01159764998442</v>
      </c>
      <c r="F23">
        <f t="shared" si="1"/>
        <v>7.7349066805191597</v>
      </c>
      <c r="G23">
        <f t="shared" si="6"/>
        <v>133</v>
      </c>
      <c r="H23">
        <f t="shared" si="2"/>
        <v>489.6283862135146</v>
      </c>
      <c r="I23">
        <f t="shared" si="7"/>
        <v>1.7892464029830755E-4</v>
      </c>
      <c r="J23" s="2">
        <f t="shared" si="3"/>
        <v>19702.521199000621</v>
      </c>
      <c r="K23" s="4">
        <f t="shared" si="4"/>
        <v>48253.101081499844</v>
      </c>
      <c r="L23" s="1">
        <v>22</v>
      </c>
      <c r="M23">
        <f t="shared" si="8"/>
        <v>0.76123894859083074</v>
      </c>
    </row>
    <row r="24" spans="1:31" x14ac:dyDescent="0.25">
      <c r="A24" s="27">
        <v>23</v>
      </c>
      <c r="B24" s="27">
        <v>4</v>
      </c>
      <c r="C24" s="27">
        <v>230</v>
      </c>
      <c r="D24">
        <f t="shared" si="5"/>
        <v>92</v>
      </c>
      <c r="E24">
        <f t="shared" si="0"/>
        <v>248.63164020359199</v>
      </c>
      <c r="F24">
        <f t="shared" si="1"/>
        <v>7.506321257409466</v>
      </c>
      <c r="G24">
        <f t="shared" si="6"/>
        <v>134</v>
      </c>
      <c r="H24">
        <f t="shared" si="2"/>
        <v>489.90119419102848</v>
      </c>
      <c r="I24">
        <f t="shared" si="7"/>
        <v>1.3620440505767622E-4</v>
      </c>
      <c r="J24" s="2">
        <f t="shared" si="3"/>
        <v>19597.71949685632</v>
      </c>
      <c r="K24" s="4">
        <f t="shared" si="4"/>
        <v>49279.301507035918</v>
      </c>
      <c r="L24" s="1">
        <v>23</v>
      </c>
      <c r="M24">
        <f t="shared" si="8"/>
        <v>0.76740097235112492</v>
      </c>
    </row>
    <row r="25" spans="1:31" x14ac:dyDescent="0.25">
      <c r="A25" s="27">
        <v>24</v>
      </c>
      <c r="B25" s="27">
        <v>4</v>
      </c>
      <c r="C25" s="27">
        <v>234</v>
      </c>
      <c r="D25">
        <f t="shared" si="5"/>
        <v>96</v>
      </c>
      <c r="E25">
        <f t="shared" si="0"/>
        <v>256.02649185016281</v>
      </c>
      <c r="F25">
        <f t="shared" si="1"/>
        <v>7.2844910930011908</v>
      </c>
      <c r="G25">
        <f t="shared" si="6"/>
        <v>135</v>
      </c>
      <c r="H25">
        <f t="shared" si="2"/>
        <v>490.16594002512647</v>
      </c>
      <c r="I25">
        <f t="shared" si="7"/>
        <v>1.045233928797672E-4</v>
      </c>
      <c r="J25" s="2">
        <f t="shared" si="3"/>
        <v>19501.925430993488</v>
      </c>
      <c r="K25" s="4">
        <f t="shared" si="4"/>
        <v>50303.250023501627</v>
      </c>
      <c r="L25" s="1">
        <v>24</v>
      </c>
      <c r="M25">
        <f t="shared" si="8"/>
        <v>0.77342858002267756</v>
      </c>
    </row>
    <row r="26" spans="1:31" x14ac:dyDescent="0.25">
      <c r="A26" s="27">
        <v>25</v>
      </c>
      <c r="B26" s="27">
        <v>2</v>
      </c>
      <c r="C26" s="27">
        <v>236</v>
      </c>
      <c r="D26">
        <f t="shared" si="5"/>
        <v>50</v>
      </c>
      <c r="E26">
        <f t="shared" si="0"/>
        <v>263.20280753214058</v>
      </c>
      <c r="F26">
        <f t="shared" si="1"/>
        <v>7.0692165528666351</v>
      </c>
      <c r="G26">
        <f t="shared" si="6"/>
        <v>136</v>
      </c>
      <c r="H26">
        <f t="shared" si="2"/>
        <v>490.42286197187798</v>
      </c>
      <c r="I26">
        <f t="shared" si="7"/>
        <v>8.0841379334150795E-5</v>
      </c>
      <c r="J26" s="2">
        <f t="shared" si="3"/>
        <v>19414.872803714377</v>
      </c>
      <c r="K26" s="4">
        <f t="shared" si="4"/>
        <v>51325.013180321403</v>
      </c>
      <c r="L26" s="1">
        <v>25</v>
      </c>
      <c r="M26">
        <f t="shared" si="8"/>
        <v>0.77932331989460457</v>
      </c>
    </row>
    <row r="27" spans="1:31" x14ac:dyDescent="0.25">
      <c r="A27" s="27">
        <v>26</v>
      </c>
      <c r="B27" s="27">
        <v>4</v>
      </c>
      <c r="C27" s="27">
        <v>240</v>
      </c>
      <c r="D27">
        <f t="shared" si="5"/>
        <v>104</v>
      </c>
      <c r="E27">
        <f t="shared" si="0"/>
        <v>270.16704552213201</v>
      </c>
      <c r="F27">
        <f t="shared" si="1"/>
        <v>6.8603039022640298</v>
      </c>
      <c r="G27">
        <f t="shared" si="6"/>
        <v>137</v>
      </c>
      <c r="H27">
        <f t="shared" si="2"/>
        <v>490.67219124630253</v>
      </c>
      <c r="I27">
        <f t="shared" si="7"/>
        <v>6.3001572127549481E-5</v>
      </c>
      <c r="J27" s="2">
        <f t="shared" si="3"/>
        <v>19336.303284114718</v>
      </c>
      <c r="K27" s="4">
        <f t="shared" si="4"/>
        <v>52344.655560221319</v>
      </c>
      <c r="L27" s="1">
        <v>26</v>
      </c>
      <c r="M27">
        <f t="shared" si="8"/>
        <v>0.78508680778542173</v>
      </c>
    </row>
    <row r="28" spans="1:31" x14ac:dyDescent="0.25">
      <c r="A28" s="27">
        <v>27</v>
      </c>
      <c r="B28" s="27">
        <v>3</v>
      </c>
      <c r="C28" s="27">
        <v>243</v>
      </c>
      <c r="D28">
        <f t="shared" si="5"/>
        <v>81</v>
      </c>
      <c r="E28">
        <f t="shared" si="0"/>
        <v>276.92547323498235</v>
      </c>
      <c r="F28">
        <f t="shared" si="1"/>
        <v>6.6575651317873765</v>
      </c>
      <c r="G28">
        <f t="shared" si="6"/>
        <v>138</v>
      </c>
      <c r="H28">
        <f t="shared" si="2"/>
        <v>490.91415223044999</v>
      </c>
      <c r="I28">
        <f t="shared" si="7"/>
        <v>4.9461703147080823E-5</v>
      </c>
      <c r="J28" s="2">
        <f t="shared" si="3"/>
        <v>19265.966175600704</v>
      </c>
      <c r="K28" s="4">
        <f t="shared" si="4"/>
        <v>53362.239837349822</v>
      </c>
      <c r="L28" s="1">
        <v>27</v>
      </c>
      <c r="M28">
        <f t="shared" si="8"/>
        <v>0.79072072058370391</v>
      </c>
    </row>
    <row r="29" spans="1:31" x14ac:dyDescent="0.25">
      <c r="A29" s="27">
        <v>28</v>
      </c>
      <c r="B29" s="27">
        <v>9</v>
      </c>
      <c r="C29" s="27">
        <v>252</v>
      </c>
      <c r="D29">
        <f t="shared" si="5"/>
        <v>252</v>
      </c>
      <c r="E29">
        <f t="shared" si="0"/>
        <v>283.48417286808876</v>
      </c>
      <c r="F29">
        <f t="shared" si="1"/>
        <v>6.4608177881687707</v>
      </c>
      <c r="G29">
        <f t="shared" si="6"/>
        <v>139</v>
      </c>
      <c r="H29">
        <f t="shared" si="2"/>
        <v>491.14896267533157</v>
      </c>
      <c r="I29">
        <f t="shared" si="7"/>
        <v>3.9110393553757003E-5</v>
      </c>
      <c r="J29" s="2">
        <f t="shared" si="3"/>
        <v>19203.618190276451</v>
      </c>
      <c r="K29" s="4">
        <f t="shared" si="4"/>
        <v>54377.826833680883</v>
      </c>
      <c r="L29" s="1">
        <v>28</v>
      </c>
      <c r="M29">
        <f t="shared" si="8"/>
        <v>0.79622679008416475</v>
      </c>
    </row>
    <row r="30" spans="1:31" x14ac:dyDescent="0.25">
      <c r="A30" s="27">
        <v>29</v>
      </c>
      <c r="B30" s="27">
        <v>2</v>
      </c>
      <c r="C30" s="27">
        <v>254</v>
      </c>
      <c r="D30">
        <f t="shared" si="5"/>
        <v>58</v>
      </c>
      <c r="E30">
        <f t="shared" si="0"/>
        <v>289.84904687502973</v>
      </c>
      <c r="F30">
        <f t="shared" si="1"/>
        <v>6.2698848100809128</v>
      </c>
      <c r="G30">
        <f t="shared" si="6"/>
        <v>140</v>
      </c>
      <c r="H30">
        <f t="shared" si="2"/>
        <v>491.37683389688306</v>
      </c>
      <c r="I30">
        <f t="shared" si="7"/>
        <v>3.1140743118236342E-5</v>
      </c>
      <c r="J30" s="2">
        <f t="shared" si="3"/>
        <v>19149.023229998809</v>
      </c>
      <c r="K30" s="4">
        <f t="shared" si="4"/>
        <v>55391.4755737503</v>
      </c>
      <c r="L30" s="1">
        <v>29</v>
      </c>
      <c r="M30">
        <f t="shared" si="8"/>
        <v>0.80160679711380445</v>
      </c>
    </row>
    <row r="31" spans="1:31" x14ac:dyDescent="0.25">
      <c r="A31" s="27">
        <v>30</v>
      </c>
      <c r="B31" s="27">
        <v>5</v>
      </c>
      <c r="C31" s="27">
        <v>259</v>
      </c>
      <c r="D31">
        <f t="shared" si="5"/>
        <v>150</v>
      </c>
      <c r="E31">
        <f t="shared" si="0"/>
        <v>296.02582327743454</v>
      </c>
      <c r="F31">
        <f t="shared" si="1"/>
        <v>6.0845943687920743</v>
      </c>
      <c r="G31">
        <f t="shared" si="6"/>
        <v>141</v>
      </c>
      <c r="H31">
        <f t="shared" si="2"/>
        <v>491.59797096613715</v>
      </c>
      <c r="I31">
        <f t="shared" si="7"/>
        <v>2.4962631350753184E-5</v>
      </c>
      <c r="J31" s="2">
        <f t="shared" si="3"/>
        <v>19101.952173902617</v>
      </c>
      <c r="K31" s="4">
        <f t="shared" si="4"/>
        <v>56403.243337774344</v>
      </c>
      <c r="L31" s="1">
        <v>30</v>
      </c>
      <c r="M31">
        <f t="shared" si="8"/>
        <v>0.80686256594455374</v>
      </c>
    </row>
    <row r="32" spans="1:31" x14ac:dyDescent="0.25">
      <c r="A32" s="27">
        <v>31</v>
      </c>
      <c r="B32" s="27">
        <v>4</v>
      </c>
      <c r="C32" s="27">
        <v>263</v>
      </c>
      <c r="D32">
        <f t="shared" si="5"/>
        <v>124</v>
      </c>
      <c r="E32">
        <f t="shared" si="0"/>
        <v>302.02006081987435</v>
      </c>
      <c r="F32">
        <f t="shared" si="1"/>
        <v>5.904779713530087</v>
      </c>
      <c r="G32">
        <f t="shared" si="6"/>
        <v>142</v>
      </c>
      <c r="H32">
        <f t="shared" si="2"/>
        <v>491.81257289377555</v>
      </c>
      <c r="I32">
        <f t="shared" si="7"/>
        <v>2.0141412784396676E-5</v>
      </c>
      <c r="J32" s="2">
        <f t="shared" si="3"/>
        <v>19062.182672205025</v>
      </c>
      <c r="K32" s="4">
        <f t="shared" si="4"/>
        <v>57413.185713198742</v>
      </c>
      <c r="L32" s="1">
        <v>31</v>
      </c>
      <c r="M32">
        <f t="shared" si="8"/>
        <v>0.81199595898528709</v>
      </c>
    </row>
    <row r="33" spans="1:32" x14ac:dyDescent="0.25">
      <c r="A33" s="27">
        <v>32</v>
      </c>
      <c r="B33" s="27">
        <v>1</v>
      </c>
      <c r="C33" s="27">
        <v>264</v>
      </c>
      <c r="D33">
        <f t="shared" si="5"/>
        <v>32</v>
      </c>
      <c r="E33">
        <f t="shared" si="0"/>
        <v>307.83715397241349</v>
      </c>
      <c r="F33">
        <f t="shared" si="1"/>
        <v>5.7302790214162149</v>
      </c>
      <c r="G33">
        <f t="shared" si="6"/>
        <v>143</v>
      </c>
      <c r="H33">
        <f t="shared" si="2"/>
        <v>492.0208328092275</v>
      </c>
      <c r="I33">
        <f t="shared" si="7"/>
        <v>1.6354745789184701E-5</v>
      </c>
      <c r="J33" s="2">
        <f t="shared" si="3"/>
        <v>19029.49894610346</v>
      </c>
      <c r="K33" s="4">
        <f t="shared" si="4"/>
        <v>58421.356644724132</v>
      </c>
      <c r="L33" s="1">
        <v>32</v>
      </c>
      <c r="M33">
        <f t="shared" si="8"/>
        <v>0.8170088717490338</v>
      </c>
    </row>
    <row r="34" spans="1:32" x14ac:dyDescent="0.25">
      <c r="A34" s="27">
        <v>33</v>
      </c>
      <c r="B34" s="27">
        <v>4</v>
      </c>
      <c r="C34" s="27">
        <v>268</v>
      </c>
      <c r="D34">
        <f t="shared" si="5"/>
        <v>132</v>
      </c>
      <c r="E34">
        <f t="shared" ref="E34:E65" si="9">P$10*(1-EXP(-P$9*A34))</f>
        <v>313.48233778532347</v>
      </c>
      <c r="F34">
        <f t="shared" ref="F34:F65" si="10">P$9*P$10*EXP(-P$9*A34)</f>
        <v>5.5609352518338389</v>
      </c>
      <c r="G34">
        <f t="shared" si="6"/>
        <v>144</v>
      </c>
      <c r="H34">
        <f t="shared" ref="H34:H65" si="11">P$10*(1-EXP(-P$9*G34))</f>
        <v>492.22293813447465</v>
      </c>
      <c r="I34">
        <f t="shared" si="7"/>
        <v>1.3361972404964053E-5</v>
      </c>
      <c r="J34" s="2">
        <f t="shared" ref="J34:J65" si="12">(P$1*E34)+(P$2*(P$10-E34))+(P$3*A34)</f>
        <v>19003.69159358706</v>
      </c>
      <c r="K34" s="4">
        <f t="shared" ref="K34:K65" si="13">(P$1*E34)+(P$2*(P$10-A34))+(Y$18*A34)</f>
        <v>59427.80848285323</v>
      </c>
      <c r="L34" s="1">
        <v>33</v>
      </c>
      <c r="M34">
        <f t="shared" si="8"/>
        <v>0.82190322808568006</v>
      </c>
    </row>
    <row r="35" spans="1:32" x14ac:dyDescent="0.25">
      <c r="A35" s="27">
        <v>34</v>
      </c>
      <c r="B35" s="27">
        <v>3</v>
      </c>
      <c r="C35" s="27">
        <v>271</v>
      </c>
      <c r="D35">
        <f t="shared" si="5"/>
        <v>102</v>
      </c>
      <c r="E35">
        <f t="shared" si="9"/>
        <v>318.96069260032766</v>
      </c>
      <c r="F35">
        <f t="shared" si="10"/>
        <v>5.3965960051009052</v>
      </c>
      <c r="G35">
        <f t="shared" si="6"/>
        <v>145</v>
      </c>
      <c r="H35">
        <f t="shared" si="11"/>
        <v>492.4190707527207</v>
      </c>
      <c r="I35">
        <f t="shared" si="7"/>
        <v>1.0982248253231732E-5</v>
      </c>
      <c r="J35" s="2">
        <f t="shared" si="12"/>
        <v>18984.557400986894</v>
      </c>
      <c r="K35" s="4">
        <f t="shared" si="13"/>
        <v>60432.592031003274</v>
      </c>
      <c r="L35" s="1">
        <v>34</v>
      </c>
      <c r="M35">
        <f t="shared" si="8"/>
        <v>0.82668097567682819</v>
      </c>
    </row>
    <row r="36" spans="1:32" x14ac:dyDescent="0.25">
      <c r="A36" s="27">
        <v>35</v>
      </c>
      <c r="B36" s="27">
        <v>6</v>
      </c>
      <c r="C36" s="27">
        <v>277</v>
      </c>
      <c r="D36">
        <f t="shared" si="5"/>
        <v>210</v>
      </c>
      <c r="E36">
        <f t="shared" si="9"/>
        <v>324.27714862261769</v>
      </c>
      <c r="F36">
        <f t="shared" si="10"/>
        <v>5.2371133853189598</v>
      </c>
      <c r="G36">
        <f t="shared" si="6"/>
        <v>146</v>
      </c>
      <c r="H36">
        <f t="shared" si="11"/>
        <v>492.60940717207524</v>
      </c>
      <c r="I36">
        <f t="shared" si="7"/>
        <v>9.078815701106751E-6</v>
      </c>
      <c r="J36" s="2">
        <f t="shared" si="12"/>
        <v>18971.899160095294</v>
      </c>
      <c r="K36" s="4">
        <f t="shared" si="13"/>
        <v>61435.756591226178</v>
      </c>
      <c r="L36" s="1">
        <v>35</v>
      </c>
      <c r="M36">
        <f t="shared" si="8"/>
        <v>0.8313440817814618</v>
      </c>
    </row>
    <row r="37" spans="1:32" x14ac:dyDescent="0.25">
      <c r="A37" s="27">
        <v>36</v>
      </c>
      <c r="B37" s="27">
        <v>13</v>
      </c>
      <c r="C37" s="27">
        <v>290</v>
      </c>
      <c r="D37">
        <f t="shared" si="5"/>
        <v>468</v>
      </c>
      <c r="E37">
        <f t="shared" si="9"/>
        <v>329.43649035775542</v>
      </c>
      <c r="F37">
        <f t="shared" si="10"/>
        <v>5.0823438672753092</v>
      </c>
      <c r="G37">
        <f t="shared" si="6"/>
        <v>147</v>
      </c>
      <c r="H37">
        <f t="shared" si="11"/>
        <v>492.79411868440133</v>
      </c>
      <c r="I37">
        <f t="shared" si="7"/>
        <v>7.5476197026997094E-6</v>
      </c>
      <c r="J37" s="2">
        <f t="shared" si="12"/>
        <v>18965.525490689783</v>
      </c>
      <c r="K37" s="4">
        <f t="shared" si="13"/>
        <v>62437.350008577552</v>
      </c>
      <c r="L37" s="1">
        <v>36</v>
      </c>
      <c r="M37">
        <f t="shared" si="8"/>
        <v>0.8358945292279486</v>
      </c>
    </row>
    <row r="38" spans="1:32" x14ac:dyDescent="0.25">
      <c r="A38" s="27">
        <v>37</v>
      </c>
      <c r="B38" s="27">
        <v>19</v>
      </c>
      <c r="C38" s="27">
        <v>309</v>
      </c>
      <c r="D38">
        <f t="shared" si="5"/>
        <v>703</v>
      </c>
      <c r="E38">
        <f t="shared" si="9"/>
        <v>334.44336091745356</v>
      </c>
      <c r="F38">
        <f t="shared" si="10"/>
        <v>4.9321481672785632</v>
      </c>
      <c r="G38">
        <f t="shared" si="6"/>
        <v>148</v>
      </c>
      <c r="H38">
        <f t="shared" si="11"/>
        <v>492.97337151946834</v>
      </c>
      <c r="I38">
        <f t="shared" si="7"/>
        <v>6.3090140181797632E-6</v>
      </c>
      <c r="J38" s="2">
        <f t="shared" si="12"/>
        <v>18965.250668301858</v>
      </c>
      <c r="K38" s="4">
        <f t="shared" si="13"/>
        <v>63437.418714174535</v>
      </c>
      <c r="L38" s="1">
        <v>37</v>
      </c>
      <c r="M38">
        <f t="shared" si="8"/>
        <v>0.84033431264295244</v>
      </c>
    </row>
    <row r="39" spans="1:32" x14ac:dyDescent="0.25">
      <c r="A39" s="27">
        <v>38</v>
      </c>
      <c r="B39" s="27">
        <v>15</v>
      </c>
      <c r="C39" s="27">
        <v>324</v>
      </c>
      <c r="D39">
        <f t="shared" si="5"/>
        <v>570</v>
      </c>
      <c r="E39">
        <f t="shared" si="9"/>
        <v>339.30226619811009</v>
      </c>
      <c r="F39">
        <f t="shared" si="10"/>
        <v>4.7863911178113039</v>
      </c>
      <c r="G39">
        <f t="shared" si="6"/>
        <v>149</v>
      </c>
      <c r="H39">
        <f t="shared" si="11"/>
        <v>493.14732699454902</v>
      </c>
      <c r="I39">
        <f t="shared" si="7"/>
        <v>5.3016809584218429E-6</v>
      </c>
      <c r="J39" s="2">
        <f t="shared" si="12"/>
        <v>18970.894457075596</v>
      </c>
      <c r="K39" s="4">
        <f t="shared" si="13"/>
        <v>64436.0077669811</v>
      </c>
      <c r="L39" s="1">
        <v>38</v>
      </c>
      <c r="M39">
        <f t="shared" si="8"/>
        <v>0.84466543490896118</v>
      </c>
      <c r="Y39" s="5"/>
      <c r="Z39" s="5"/>
      <c r="AA39" s="5" t="s">
        <v>30</v>
      </c>
      <c r="AB39" s="5"/>
      <c r="AC39" s="5"/>
      <c r="AD39" s="5"/>
      <c r="AE39" s="5"/>
      <c r="AF39" s="5"/>
    </row>
    <row r="40" spans="1:32" x14ac:dyDescent="0.25">
      <c r="A40" s="27">
        <v>39</v>
      </c>
      <c r="B40" s="27">
        <v>7</v>
      </c>
      <c r="C40" s="27">
        <v>331</v>
      </c>
      <c r="D40">
        <f t="shared" si="5"/>
        <v>273</v>
      </c>
      <c r="E40">
        <f t="shared" si="9"/>
        <v>344.01757893585642</v>
      </c>
      <c r="F40">
        <f t="shared" si="10"/>
        <v>4.6449415458870646</v>
      </c>
      <c r="G40">
        <f>111+A40</f>
        <v>150</v>
      </c>
      <c r="H40">
        <f t="shared" si="11"/>
        <v>493.31614165959593</v>
      </c>
      <c r="I40">
        <f t="shared" si="7"/>
        <v>4.4781466524939436E-6</v>
      </c>
      <c r="J40" s="2">
        <f t="shared" si="12"/>
        <v>18982.281947565745</v>
      </c>
      <c r="K40" s="4">
        <f t="shared" si="13"/>
        <v>65433.16089435856</v>
      </c>
      <c r="L40" s="1">
        <v>39</v>
      </c>
      <c r="M40">
        <f t="shared" si="8"/>
        <v>0.84888990384343821</v>
      </c>
      <c r="Y40" s="5"/>
      <c r="Z40" s="5"/>
      <c r="AA40" s="5"/>
      <c r="AB40" s="5"/>
      <c r="AC40" s="5"/>
      <c r="AD40" s="5"/>
      <c r="AE40" s="5"/>
      <c r="AF40" s="5"/>
    </row>
    <row r="41" spans="1:32" x14ac:dyDescent="0.25">
      <c r="A41" s="27">
        <v>40</v>
      </c>
      <c r="B41" s="27">
        <v>15</v>
      </c>
      <c r="C41" s="27">
        <v>346</v>
      </c>
      <c r="D41">
        <f t="shared" si="5"/>
        <v>600</v>
      </c>
      <c r="E41">
        <f t="shared" si="9"/>
        <v>348.59354264176932</v>
      </c>
      <c r="F41">
        <f t="shared" si="10"/>
        <v>4.507672155002167</v>
      </c>
      <c r="G41">
        <f t="shared" si="6"/>
        <v>151</v>
      </c>
      <c r="H41">
        <f t="shared" si="11"/>
        <v>493.47996743812735</v>
      </c>
      <c r="I41">
        <f t="shared" si="7"/>
        <v>3.8014534812323988E-6</v>
      </c>
      <c r="J41" s="2">
        <f t="shared" si="12"/>
        <v>18999.243399329229</v>
      </c>
      <c r="K41" s="4">
        <f t="shared" si="13"/>
        <v>66428.920531417694</v>
      </c>
      <c r="L41" s="1">
        <v>40</v>
      </c>
      <c r="M41">
        <f t="shared" si="8"/>
        <v>0.85300972909032269</v>
      </c>
      <c r="Y41" s="5" t="s">
        <v>31</v>
      </c>
      <c r="Z41" s="5"/>
      <c r="AA41" s="5"/>
      <c r="AB41" s="5"/>
      <c r="AC41" s="5"/>
      <c r="AD41" s="5"/>
      <c r="AE41" s="5"/>
      <c r="AF41" s="5"/>
    </row>
    <row r="42" spans="1:32" x14ac:dyDescent="0.25">
      <c r="A42" s="27">
        <v>41</v>
      </c>
      <c r="B42" s="27">
        <v>21</v>
      </c>
      <c r="C42" s="27">
        <v>367</v>
      </c>
      <c r="D42">
        <f t="shared" si="5"/>
        <v>861</v>
      </c>
      <c r="E42">
        <f t="shared" si="9"/>
        <v>353.03427542078754</v>
      </c>
      <c r="F42">
        <f t="shared" si="10"/>
        <v>4.3744594105761685</v>
      </c>
      <c r="G42">
        <f t="shared" si="6"/>
        <v>152</v>
      </c>
      <c r="H42">
        <f t="shared" si="11"/>
        <v>493.63895176394976</v>
      </c>
      <c r="I42">
        <f t="shared" si="7"/>
        <v>3.2426768041755129E-6</v>
      </c>
      <c r="J42" s="2">
        <f t="shared" si="12"/>
        <v>19021.614088168499</v>
      </c>
      <c r="K42" s="4">
        <f t="shared" si="13"/>
        <v>67423.327859207871</v>
      </c>
      <c r="L42" s="1">
        <v>41</v>
      </c>
      <c r="M42">
        <f t="shared" si="8"/>
        <v>0.85702691921620711</v>
      </c>
    </row>
    <row r="43" spans="1:32" x14ac:dyDescent="0.25">
      <c r="A43" s="27">
        <v>42</v>
      </c>
      <c r="B43" s="27">
        <v>8</v>
      </c>
      <c r="C43" s="27">
        <v>375</v>
      </c>
      <c r="D43">
        <f t="shared" si="5"/>
        <v>336</v>
      </c>
      <c r="E43">
        <f t="shared" si="9"/>
        <v>357.34377367776995</v>
      </c>
      <c r="F43">
        <f t="shared" si="10"/>
        <v>4.2451834287778185</v>
      </c>
      <c r="G43">
        <f t="shared" si="6"/>
        <v>153</v>
      </c>
      <c r="H43">
        <f t="shared" si="11"/>
        <v>493.79323771384003</v>
      </c>
      <c r="I43">
        <f t="shared" si="7"/>
        <v>2.7790613114963958E-6</v>
      </c>
      <c r="J43" s="2">
        <f t="shared" si="12"/>
        <v>19049.234157889201</v>
      </c>
      <c r="K43" s="4">
        <f t="shared" si="13"/>
        <v>68416.422841777705</v>
      </c>
      <c r="L43" s="1">
        <v>42</v>
      </c>
      <c r="M43">
        <f t="shared" si="8"/>
        <v>0.86094347900361079</v>
      </c>
    </row>
    <row r="44" spans="1:32" x14ac:dyDescent="0.25">
      <c r="A44" s="27">
        <v>43</v>
      </c>
      <c r="B44" s="27">
        <v>6</v>
      </c>
      <c r="C44" s="27">
        <v>381</v>
      </c>
      <c r="D44">
        <f t="shared" si="5"/>
        <v>258</v>
      </c>
      <c r="E44">
        <f t="shared" si="9"/>
        <v>361.52591571403116</v>
      </c>
      <c r="F44">
        <f t="shared" si="10"/>
        <v>4.11972786863649</v>
      </c>
      <c r="G44">
        <f t="shared" si="6"/>
        <v>154</v>
      </c>
      <c r="H44">
        <f t="shared" si="11"/>
        <v>493.94296413630576</v>
      </c>
      <c r="I44">
        <f t="shared" si="7"/>
        <v>2.3926147138840441E-6</v>
      </c>
      <c r="J44" s="2">
        <f t="shared" si="12"/>
        <v>19081.948476438753</v>
      </c>
      <c r="K44" s="4">
        <f t="shared" si="13"/>
        <v>69408.244262140302</v>
      </c>
      <c r="L44" s="1">
        <v>43</v>
      </c>
      <c r="M44">
        <f t="shared" si="8"/>
        <v>0.86476140693108816</v>
      </c>
    </row>
    <row r="45" spans="1:32" x14ac:dyDescent="0.25">
      <c r="A45" s="27">
        <v>44</v>
      </c>
      <c r="B45" s="27">
        <v>20</v>
      </c>
      <c r="C45" s="27">
        <v>401</v>
      </c>
      <c r="D45">
        <f t="shared" si="5"/>
        <v>880</v>
      </c>
      <c r="E45">
        <f t="shared" si="9"/>
        <v>365.5844652175897</v>
      </c>
      <c r="F45">
        <f t="shared" si="10"/>
        <v>3.9979798273419753</v>
      </c>
      <c r="G45">
        <f t="shared" si="6"/>
        <v>155</v>
      </c>
      <c r="H45">
        <f t="shared" si="11"/>
        <v>494.08826577654162</v>
      </c>
      <c r="I45">
        <f t="shared" si="7"/>
        <v>2.0690408662223892E-6</v>
      </c>
      <c r="J45" s="2">
        <f t="shared" si="12"/>
        <v>19119.606496296412</v>
      </c>
      <c r="K45" s="4">
        <f t="shared" si="13"/>
        <v>70398.829757175903</v>
      </c>
      <c r="L45" s="1">
        <v>44</v>
      </c>
      <c r="M45">
        <f t="shared" si="8"/>
        <v>0.86848269283543988</v>
      </c>
    </row>
    <row r="46" spans="1:32" x14ac:dyDescent="0.25">
      <c r="A46" s="27">
        <v>45</v>
      </c>
      <c r="B46" s="27">
        <v>10</v>
      </c>
      <c r="C46" s="27">
        <v>411</v>
      </c>
      <c r="D46">
        <f t="shared" si="5"/>
        <v>450</v>
      </c>
      <c r="E46">
        <f t="shared" si="9"/>
        <v>369.52307465027201</v>
      </c>
      <c r="F46">
        <f t="shared" si="10"/>
        <v>3.8798297386384304</v>
      </c>
      <c r="G46">
        <f t="shared" si="6"/>
        <v>156</v>
      </c>
      <c r="H46">
        <f t="shared" si="11"/>
        <v>494.22927339769177</v>
      </c>
      <c r="I46">
        <f t="shared" si="7"/>
        <v>1.7969261830833916E-6</v>
      </c>
      <c r="J46" s="2">
        <f t="shared" si="12"/>
        <v>19162.062118989117</v>
      </c>
      <c r="K46" s="4">
        <f t="shared" si="13"/>
        <v>71388.215851502726</v>
      </c>
      <c r="L46" s="1">
        <v>45</v>
      </c>
      <c r="M46">
        <f t="shared" si="8"/>
        <v>0.87210931574461692</v>
      </c>
    </row>
    <row r="47" spans="1:32" x14ac:dyDescent="0.25">
      <c r="A47" s="27">
        <v>46</v>
      </c>
      <c r="B47" s="27">
        <v>3</v>
      </c>
      <c r="C47" s="27">
        <v>414</v>
      </c>
      <c r="D47">
        <f t="shared" si="5"/>
        <v>138</v>
      </c>
      <c r="E47">
        <f t="shared" si="9"/>
        <v>373.34528853471835</v>
      </c>
      <c r="F47">
        <f t="shared" si="10"/>
        <v>3.7651712742210277</v>
      </c>
      <c r="G47">
        <f t="shared" si="6"/>
        <v>157</v>
      </c>
      <c r="H47">
        <f t="shared" si="11"/>
        <v>494.36611389852965</v>
      </c>
      <c r="I47">
        <f t="shared" si="7"/>
        <v>1.5671160639724429E-6</v>
      </c>
      <c r="J47" s="2">
        <f t="shared" si="12"/>
        <v>19209.173563611264</v>
      </c>
      <c r="K47" s="4">
        <f t="shared" si="13"/>
        <v>72376.437990347185</v>
      </c>
      <c r="L47" s="1">
        <v>46</v>
      </c>
      <c r="M47">
        <f t="shared" si="8"/>
        <v>0.87564324187667808</v>
      </c>
    </row>
    <row r="48" spans="1:32" x14ac:dyDescent="0.25">
      <c r="A48" s="27">
        <v>47</v>
      </c>
      <c r="B48" s="27">
        <v>3</v>
      </c>
      <c r="C48" s="27">
        <v>417</v>
      </c>
      <c r="D48">
        <f t="shared" si="5"/>
        <v>141</v>
      </c>
      <c r="E48">
        <f t="shared" si="9"/>
        <v>377.05454664424985</v>
      </c>
      <c r="F48">
        <f t="shared" si="10"/>
        <v>3.6539012480465796</v>
      </c>
      <c r="G48">
        <f t="shared" si="6"/>
        <v>158</v>
      </c>
      <c r="H48">
        <f t="shared" si="11"/>
        <v>494.49891042765915</v>
      </c>
      <c r="I48">
        <f t="shared" si="7"/>
        <v>1.3722345906538496E-6</v>
      </c>
      <c r="J48" s="2">
        <f t="shared" si="12"/>
        <v>19260.803239230005</v>
      </c>
      <c r="K48" s="4">
        <f t="shared" si="13"/>
        <v>73363.530571442505</v>
      </c>
      <c r="L48" s="1">
        <v>47</v>
      </c>
      <c r="M48">
        <f t="shared" si="8"/>
        <v>0.87908642279429894</v>
      </c>
    </row>
    <row r="49" spans="1:18" x14ac:dyDescent="0.25">
      <c r="A49" s="27">
        <v>48</v>
      </c>
      <c r="B49" s="27">
        <v>8</v>
      </c>
      <c r="C49" s="27">
        <v>425</v>
      </c>
      <c r="D49">
        <f t="shared" si="5"/>
        <v>384</v>
      </c>
      <c r="E49">
        <f t="shared" si="9"/>
        <v>380.65418709846739</v>
      </c>
      <c r="F49">
        <f t="shared" si="10"/>
        <v>3.5459195234720173</v>
      </c>
      <c r="G49">
        <f t="shared" si="6"/>
        <v>159</v>
      </c>
      <c r="H49">
        <f t="shared" si="11"/>
        <v>494.62778249434172</v>
      </c>
      <c r="I49">
        <f t="shared" si="7"/>
        <v>1.2063127975324916E-6</v>
      </c>
      <c r="J49" s="2">
        <f t="shared" si="12"/>
        <v>19316.817621061302</v>
      </c>
      <c r="K49" s="4">
        <f t="shared" si="13"/>
        <v>74349.526975984671</v>
      </c>
      <c r="L49" s="1">
        <v>48</v>
      </c>
      <c r="M49">
        <f t="shared" si="8"/>
        <v>0.88244079370995654</v>
      </c>
    </row>
    <row r="50" spans="1:18" x14ac:dyDescent="0.25">
      <c r="A50" s="27">
        <v>49</v>
      </c>
      <c r="B50" s="27">
        <v>5</v>
      </c>
      <c r="C50" s="27">
        <v>430</v>
      </c>
      <c r="D50">
        <f t="shared" si="5"/>
        <v>245</v>
      </c>
      <c r="E50">
        <f t="shared" si="9"/>
        <v>384.14744936736798</v>
      </c>
      <c r="F50">
        <f t="shared" si="10"/>
        <v>3.4411289231371507</v>
      </c>
      <c r="G50">
        <f t="shared" si="6"/>
        <v>160</v>
      </c>
      <c r="H50">
        <f t="shared" si="11"/>
        <v>494.75284607604749</v>
      </c>
      <c r="I50">
        <f t="shared" si="7"/>
        <v>1.0644996225170501E-6</v>
      </c>
      <c r="J50" s="2">
        <f t="shared" si="12"/>
        <v>19377.087130305281</v>
      </c>
      <c r="K50" s="4">
        <f t="shared" si="13"/>
        <v>75334.459598673682</v>
      </c>
      <c r="L50" s="1">
        <v>49</v>
      </c>
      <c r="M50">
        <f t="shared" si="8"/>
        <v>0.88570827193236834</v>
      </c>
    </row>
    <row r="51" spans="1:18" x14ac:dyDescent="0.25">
      <c r="A51" s="27">
        <v>50</v>
      </c>
      <c r="B51" s="27">
        <v>1</v>
      </c>
      <c r="C51" s="27">
        <v>431</v>
      </c>
      <c r="D51">
        <f t="shared" si="5"/>
        <v>50</v>
      </c>
      <c r="E51">
        <f t="shared" si="9"/>
        <v>387.53747718668154</v>
      </c>
      <c r="F51">
        <f t="shared" si="10"/>
        <v>3.3394351415106205</v>
      </c>
      <c r="G51">
        <f t="shared" si="6"/>
        <v>161</v>
      </c>
      <c r="H51">
        <f t="shared" si="11"/>
        <v>494.87421372282859</v>
      </c>
      <c r="I51">
        <f t="shared" si="7"/>
        <v>9.4283612113223492E-7</v>
      </c>
      <c r="J51" s="2">
        <f t="shared" si="12"/>
        <v>19441.486017532738</v>
      </c>
      <c r="K51" s="4">
        <f t="shared" si="13"/>
        <v>76318.359876866816</v>
      </c>
      <c r="L51" s="1">
        <v>50</v>
      </c>
      <c r="M51">
        <f t="shared" si="8"/>
        <v>0.88889075544855223</v>
      </c>
    </row>
    <row r="52" spans="1:18" x14ac:dyDescent="0.25">
      <c r="A52" s="27">
        <v>51</v>
      </c>
      <c r="B52" s="27">
        <v>2</v>
      </c>
      <c r="C52" s="27">
        <v>433</v>
      </c>
      <c r="D52">
        <f t="shared" si="5"/>
        <v>102</v>
      </c>
      <c r="E52">
        <f t="shared" si="9"/>
        <v>390.82732138705342</v>
      </c>
      <c r="F52">
        <f t="shared" si="10"/>
        <v>3.2407466600203247</v>
      </c>
      <c r="G52">
        <f t="shared" si="6"/>
        <v>162</v>
      </c>
      <c r="H52">
        <f t="shared" si="11"/>
        <v>494.99199465860755</v>
      </c>
      <c r="I52">
        <f t="shared" si="7"/>
        <v>8.3807831197741489E-7</v>
      </c>
      <c r="J52" s="2">
        <f t="shared" si="12"/>
        <v>19509.892249517863</v>
      </c>
      <c r="K52" s="4">
        <f t="shared" si="13"/>
        <v>77301.258318870532</v>
      </c>
      <c r="L52" s="1">
        <v>51</v>
      </c>
      <c r="M52">
        <f t="shared" si="8"/>
        <v>0.89199012163366065</v>
      </c>
    </row>
    <row r="53" spans="1:18" x14ac:dyDescent="0.25">
      <c r="A53" s="27">
        <v>52</v>
      </c>
      <c r="B53" s="27">
        <v>2</v>
      </c>
      <c r="C53" s="27">
        <v>435</v>
      </c>
      <c r="D53">
        <f t="shared" si="5"/>
        <v>104</v>
      </c>
      <c r="E53">
        <f t="shared" si="9"/>
        <v>394.01994263961626</v>
      </c>
      <c r="F53">
        <f t="shared" si="10"/>
        <v>3.144974664691953</v>
      </c>
      <c r="G53">
        <f t="shared" si="6"/>
        <v>163</v>
      </c>
      <c r="H53">
        <f t="shared" si="11"/>
        <v>495.10629487947273</v>
      </c>
      <c r="I53">
        <f t="shared" si="7"/>
        <v>7.4755757543926726E-7</v>
      </c>
      <c r="J53" s="2">
        <f t="shared" si="12"/>
        <v>19582.18739941535</v>
      </c>
      <c r="K53" s="4">
        <f t="shared" si="13"/>
        <v>78283.184531396168</v>
      </c>
      <c r="L53" s="1">
        <v>52</v>
      </c>
      <c r="M53">
        <f t="shared" si="8"/>
        <v>0.89500822608236508</v>
      </c>
    </row>
    <row r="54" spans="1:18" x14ac:dyDescent="0.25">
      <c r="A54" s="27">
        <v>53</v>
      </c>
      <c r="B54" s="27">
        <v>2</v>
      </c>
      <c r="C54" s="27">
        <v>437</v>
      </c>
      <c r="D54">
        <f t="shared" si="5"/>
        <v>106</v>
      </c>
      <c r="E54">
        <f t="shared" si="9"/>
        <v>397.11821412042514</v>
      </c>
      <c r="F54">
        <f t="shared" si="10"/>
        <v>3.0520329662215038</v>
      </c>
      <c r="G54">
        <f t="shared" si="6"/>
        <v>164</v>
      </c>
      <c r="H54">
        <f t="shared" si="11"/>
        <v>495.21721724906877</v>
      </c>
      <c r="I54">
        <f t="shared" si="7"/>
        <v>6.690701794883324E-7</v>
      </c>
      <c r="J54" s="2">
        <f t="shared" si="12"/>
        <v>19658.256540182992</v>
      </c>
      <c r="K54" s="4">
        <f t="shared" si="13"/>
        <v>79264.167246204248</v>
      </c>
      <c r="L54" s="1">
        <v>53</v>
      </c>
      <c r="M54">
        <f t="shared" si="8"/>
        <v>0.89794690155571144</v>
      </c>
    </row>
    <row r="55" spans="1:18" x14ac:dyDescent="0.25">
      <c r="A55" s="27">
        <v>54</v>
      </c>
      <c r="B55" s="27">
        <v>7</v>
      </c>
      <c r="C55" s="27">
        <v>444</v>
      </c>
      <c r="D55">
        <f t="shared" si="5"/>
        <v>378</v>
      </c>
      <c r="E55">
        <f t="shared" si="9"/>
        <v>400.12492409615044</v>
      </c>
      <c r="F55">
        <f t="shared" si="10"/>
        <v>2.9618379224098503</v>
      </c>
      <c r="G55">
        <f t="shared" si="6"/>
        <v>165</v>
      </c>
      <c r="H55">
        <f t="shared" si="11"/>
        <v>495.32486159116763</v>
      </c>
      <c r="I55">
        <f t="shared" si="7"/>
        <v>6.0078949459487181E-7</v>
      </c>
      <c r="J55" s="2">
        <f t="shared" si="12"/>
        <v>19737.988141153983</v>
      </c>
      <c r="K55" s="4">
        <f t="shared" si="13"/>
        <v>80244.234345961508</v>
      </c>
      <c r="L55" s="1">
        <v>54</v>
      </c>
      <c r="M55">
        <f t="shared" si="8"/>
        <v>0.90080795703540761</v>
      </c>
    </row>
    <row r="56" spans="1:18" x14ac:dyDescent="0.25">
      <c r="A56" s="27">
        <v>55</v>
      </c>
      <c r="B56" s="27">
        <v>2</v>
      </c>
      <c r="C56" s="27">
        <v>446</v>
      </c>
      <c r="D56">
        <f t="shared" si="5"/>
        <v>110</v>
      </c>
      <c r="E56">
        <f t="shared" si="9"/>
        <v>403.04277843335831</v>
      </c>
      <c r="F56">
        <f t="shared" si="10"/>
        <v>2.8743083628895607</v>
      </c>
      <c r="G56">
        <f t="shared" si="6"/>
        <v>166</v>
      </c>
      <c r="H56">
        <f t="shared" si="11"/>
        <v>495.42932477950473</v>
      </c>
      <c r="I56">
        <f t="shared" si="7"/>
        <v>5.4119595723434157E-7</v>
      </c>
      <c r="J56" s="2">
        <f t="shared" si="12"/>
        <v>19821.273967665667</v>
      </c>
      <c r="K56" s="4">
        <f t="shared" si="13"/>
        <v>81223.412889333587</v>
      </c>
      <c r="L56" s="1">
        <v>55</v>
      </c>
      <c r="M56">
        <f t="shared" si="8"/>
        <v>0.9035931768822677</v>
      </c>
    </row>
    <row r="57" spans="1:18" x14ac:dyDescent="0.25">
      <c r="A57" s="27">
        <v>56</v>
      </c>
      <c r="B57" s="27">
        <v>0</v>
      </c>
      <c r="C57" s="27">
        <v>446</v>
      </c>
      <c r="D57">
        <f t="shared" si="5"/>
        <v>0</v>
      </c>
      <c r="E57">
        <f t="shared" si="9"/>
        <v>405.87440303363582</v>
      </c>
      <c r="F57">
        <f t="shared" si="10"/>
        <v>2.7893655160762183</v>
      </c>
      <c r="G57">
        <f t="shared" si="6"/>
        <v>167</v>
      </c>
      <c r="H57">
        <f t="shared" si="11"/>
        <v>495.5307008249593</v>
      </c>
      <c r="I57">
        <f t="shared" si="7"/>
        <v>4.8902097431321855E-7</v>
      </c>
      <c r="J57" s="2">
        <f t="shared" si="12"/>
        <v>19908.008983654567</v>
      </c>
      <c r="K57" s="4">
        <f t="shared" si="13"/>
        <v>82201.729135336354</v>
      </c>
      <c r="L57" s="1">
        <v>56</v>
      </c>
      <c r="M57">
        <f t="shared" si="8"/>
        <v>0.90630432009001538</v>
      </c>
      <c r="O57" s="20"/>
      <c r="P57" s="20" t="s">
        <v>25</v>
      </c>
      <c r="Q57" s="20"/>
      <c r="R57" s="20"/>
    </row>
    <row r="58" spans="1:18" x14ac:dyDescent="0.25">
      <c r="A58" s="27">
        <v>57</v>
      </c>
      <c r="B58" s="27">
        <v>2</v>
      </c>
      <c r="C58" s="27">
        <v>448</v>
      </c>
      <c r="D58">
        <f t="shared" si="5"/>
        <v>114</v>
      </c>
      <c r="E58">
        <f t="shared" si="9"/>
        <v>408.62234619675093</v>
      </c>
      <c r="F58">
        <f t="shared" si="10"/>
        <v>2.706932938278515</v>
      </c>
      <c r="G58">
        <f>111+A58</f>
        <v>168</v>
      </c>
      <c r="H58">
        <f t="shared" si="11"/>
        <v>495.62908096015917</v>
      </c>
      <c r="I58">
        <f t="shared" si="7"/>
        <v>4.4320182163469845E-7</v>
      </c>
      <c r="J58" s="2">
        <f t="shared" si="12"/>
        <v>19998.091257129963</v>
      </c>
      <c r="K58" s="4">
        <f t="shared" si="13"/>
        <v>83179.208566967514</v>
      </c>
      <c r="L58" s="1">
        <v>57</v>
      </c>
      <c r="M58">
        <f t="shared" si="8"/>
        <v>0.90894311963139185</v>
      </c>
      <c r="O58" s="20"/>
      <c r="P58" s="20"/>
      <c r="Q58" s="20"/>
      <c r="R58" s="20"/>
    </row>
    <row r="59" spans="1:18" x14ac:dyDescent="0.25">
      <c r="A59" s="27">
        <v>58</v>
      </c>
      <c r="B59" s="27">
        <v>3</v>
      </c>
      <c r="C59" s="27">
        <v>451</v>
      </c>
      <c r="D59">
        <f t="shared" si="5"/>
        <v>174</v>
      </c>
      <c r="E59">
        <f t="shared" si="9"/>
        <v>411.28908091397699</v>
      </c>
      <c r="F59">
        <f t="shared" si="10"/>
        <v>2.626936444903313</v>
      </c>
      <c r="G59">
        <f t="shared" si="6"/>
        <v>169</v>
      </c>
      <c r="H59">
        <f t="shared" si="11"/>
        <v>495.72455372158464</v>
      </c>
      <c r="I59">
        <f t="shared" si="7"/>
        <v>4.0284524638295852E-7</v>
      </c>
      <c r="J59" s="2">
        <f t="shared" si="12"/>
        <v>20091.421868440921</v>
      </c>
      <c r="K59" s="4">
        <f t="shared" si="13"/>
        <v>84155.87591413976</v>
      </c>
      <c r="L59" s="1">
        <v>58</v>
      </c>
      <c r="M59">
        <f t="shared" si="8"/>
        <v>0.91151128188908515</v>
      </c>
      <c r="O59" s="20" t="s">
        <v>32</v>
      </c>
      <c r="P59" s="20"/>
      <c r="Q59" s="20"/>
      <c r="R59" s="20"/>
    </row>
    <row r="60" spans="1:18" x14ac:dyDescent="0.25">
      <c r="A60" s="27">
        <v>59</v>
      </c>
      <c r="B60" s="27">
        <v>2</v>
      </c>
      <c r="C60" s="27">
        <v>453</v>
      </c>
      <c r="D60">
        <f t="shared" si="5"/>
        <v>118</v>
      </c>
      <c r="E60">
        <f t="shared" si="9"/>
        <v>413.87700709364253</v>
      </c>
      <c r="F60">
        <f t="shared" si="10"/>
        <v>2.5493040436937626</v>
      </c>
      <c r="G60">
        <f t="shared" si="6"/>
        <v>170</v>
      </c>
      <c r="H60">
        <f t="shared" si="11"/>
        <v>495.81720502924645</v>
      </c>
      <c r="I60">
        <f t="shared" si="7"/>
        <v>3.6719798693345488E-7</v>
      </c>
      <c r="J60" s="2">
        <f t="shared" si="12"/>
        <v>20187.904821254298</v>
      </c>
      <c r="K60" s="4">
        <f t="shared" si="13"/>
        <v>85131.755175936429</v>
      </c>
      <c r="L60" s="1">
        <v>59</v>
      </c>
      <c r="M60">
        <f t="shared" si="8"/>
        <v>0.91401048616823122</v>
      </c>
      <c r="O60" s="20"/>
      <c r="P60" s="20"/>
      <c r="Q60" s="20"/>
      <c r="R60" s="20"/>
    </row>
    <row r="61" spans="1:18" x14ac:dyDescent="0.25">
      <c r="A61" s="27">
        <v>60</v>
      </c>
      <c r="B61" s="27">
        <v>7</v>
      </c>
      <c r="C61" s="27">
        <v>460</v>
      </c>
      <c r="D61">
        <f t="shared" si="5"/>
        <v>420</v>
      </c>
      <c r="E61">
        <f t="shared" si="9"/>
        <v>416.38845372091151</v>
      </c>
      <c r="F61">
        <f t="shared" si="10"/>
        <v>2.4739658699404008</v>
      </c>
      <c r="G61">
        <f t="shared" si="6"/>
        <v>171</v>
      </c>
      <c r="H61">
        <f t="shared" si="11"/>
        <v>495.90711826400849</v>
      </c>
      <c r="I61">
        <f t="shared" si="7"/>
        <v>3.3562281055704292E-7</v>
      </c>
      <c r="J61" s="2">
        <f t="shared" si="12"/>
        <v>20287.446956163541</v>
      </c>
      <c r="K61" s="4">
        <f t="shared" si="13"/>
        <v>86106.869642209116</v>
      </c>
      <c r="L61" s="1">
        <v>60</v>
      </c>
      <c r="M61">
        <f t="shared" si="8"/>
        <v>0.91644238428307068</v>
      </c>
      <c r="O61" s="20"/>
      <c r="P61" s="20"/>
      <c r="Q61" s="20"/>
      <c r="R61" s="20"/>
    </row>
    <row r="62" spans="1:18" x14ac:dyDescent="0.25">
      <c r="A62" s="27">
        <v>61</v>
      </c>
      <c r="B62" s="27">
        <v>3</v>
      </c>
      <c r="C62" s="27">
        <v>463</v>
      </c>
      <c r="D62">
        <f t="shared" si="5"/>
        <v>183</v>
      </c>
      <c r="E62">
        <f t="shared" si="9"/>
        <v>418.82568095373625</v>
      </c>
      <c r="F62">
        <f t="shared" si="10"/>
        <v>2.4008541236069192</v>
      </c>
      <c r="G62">
        <f t="shared" si="6"/>
        <v>172</v>
      </c>
      <c r="H62">
        <f t="shared" si="11"/>
        <v>495.99437434262632</v>
      </c>
      <c r="I62">
        <f t="shared" si="7"/>
        <v>3.0757896872668176E-7</v>
      </c>
      <c r="J62" s="2">
        <f t="shared" si="12"/>
        <v>20389.957866850549</v>
      </c>
      <c r="K62" s="4">
        <f t="shared" si="13"/>
        <v>87081.241914537357</v>
      </c>
      <c r="L62" s="1">
        <v>61</v>
      </c>
      <c r="M62">
        <f t="shared" si="8"/>
        <v>0.91880860021615118</v>
      </c>
      <c r="O62" s="20"/>
      <c r="P62" s="20"/>
      <c r="Q62" s="20"/>
      <c r="R62" s="20"/>
    </row>
    <row r="63" spans="1:18" x14ac:dyDescent="0.25">
      <c r="A63" s="27">
        <v>62</v>
      </c>
      <c r="B63" s="27">
        <v>0</v>
      </c>
      <c r="C63" s="27">
        <v>463</v>
      </c>
      <c r="D63">
        <f t="shared" si="5"/>
        <v>0</v>
      </c>
      <c r="E63">
        <f t="shared" si="9"/>
        <v>421.19088215686963</v>
      </c>
      <c r="F63">
        <f t="shared" si="10"/>
        <v>2.3299030083140191</v>
      </c>
      <c r="G63">
        <f t="shared" si="6"/>
        <v>173</v>
      </c>
      <c r="H63">
        <f t="shared" si="11"/>
        <v>496.07905179056723</v>
      </c>
      <c r="I63">
        <f t="shared" si="7"/>
        <v>2.8260620171168979E-7</v>
      </c>
      <c r="J63" s="2">
        <f t="shared" si="12"/>
        <v>20495.349818725212</v>
      </c>
      <c r="K63" s="4">
        <f t="shared" si="13"/>
        <v>88054.893926568693</v>
      </c>
      <c r="L63" s="1">
        <v>62</v>
      </c>
      <c r="M63">
        <f t="shared" si="8"/>
        <v>0.92111072984266951</v>
      </c>
      <c r="O63" s="20"/>
      <c r="P63" s="20"/>
      <c r="Q63" s="20"/>
      <c r="R63" s="20"/>
    </row>
    <row r="64" spans="1:18" x14ac:dyDescent="0.25">
      <c r="A64" s="27">
        <v>63</v>
      </c>
      <c r="B64" s="27">
        <v>1</v>
      </c>
      <c r="C64" s="27">
        <v>464</v>
      </c>
      <c r="D64">
        <f t="shared" si="5"/>
        <v>63</v>
      </c>
      <c r="E64">
        <f t="shared" si="9"/>
        <v>423.4861858757684</v>
      </c>
      <c r="F64">
        <f t="shared" si="10"/>
        <v>2.2610486721264418</v>
      </c>
      <c r="G64">
        <f t="shared" si="6"/>
        <v>174</v>
      </c>
      <c r="H64">
        <f t="shared" si="11"/>
        <v>496.16122681267865</v>
      </c>
      <c r="I64">
        <f t="shared" si="7"/>
        <v>2.6031160471671929E-7</v>
      </c>
      <c r="J64" s="2">
        <f t="shared" si="12"/>
        <v>20603.537669969264</v>
      </c>
      <c r="K64" s="4">
        <f t="shared" si="13"/>
        <v>89027.846963757678</v>
      </c>
      <c r="L64" s="1">
        <v>63</v>
      </c>
      <c r="M64">
        <f t="shared" si="8"/>
        <v>0.9233503407165764</v>
      </c>
      <c r="O64" s="20"/>
      <c r="P64" s="20"/>
      <c r="Q64" s="20"/>
      <c r="R64" s="20"/>
    </row>
    <row r="65" spans="1:18" x14ac:dyDescent="0.25">
      <c r="A65" s="27">
        <v>64</v>
      </c>
      <c r="B65" s="27">
        <v>0</v>
      </c>
      <c r="C65" s="27">
        <v>464</v>
      </c>
      <c r="D65">
        <f t="shared" si="5"/>
        <v>0</v>
      </c>
      <c r="E65">
        <f t="shared" si="9"/>
        <v>425.71365775216151</v>
      </c>
      <c r="F65">
        <f t="shared" si="10"/>
        <v>2.1942291500898885</v>
      </c>
      <c r="G65">
        <f t="shared" si="6"/>
        <v>175</v>
      </c>
      <c r="H65">
        <f t="shared" si="11"/>
        <v>496.24097336176851</v>
      </c>
      <c r="I65">
        <f t="shared" si="7"/>
        <v>2.4035880890766148E-7</v>
      </c>
      <c r="J65" s="2">
        <f t="shared" si="12"/>
        <v>20714.438794913542</v>
      </c>
      <c r="K65" s="4">
        <f t="shared" si="13"/>
        <v>90000.121682521611</v>
      </c>
      <c r="L65" s="1">
        <v>64</v>
      </c>
      <c r="M65">
        <f t="shared" si="8"/>
        <v>0.92552897191586625</v>
      </c>
      <c r="O65" s="20" t="s">
        <v>34</v>
      </c>
      <c r="P65" s="20">
        <f>(1/P9)*LN((P18*(P2-P1))/P3)</f>
        <v>36.544525560981931</v>
      </c>
      <c r="Q65" s="20" t="s">
        <v>35</v>
      </c>
      <c r="R65" s="20"/>
    </row>
    <row r="66" spans="1:18" x14ac:dyDescent="0.25">
      <c r="A66" s="27">
        <v>65</v>
      </c>
      <c r="B66" s="27">
        <v>1</v>
      </c>
      <c r="C66" s="27">
        <v>465</v>
      </c>
      <c r="D66">
        <f t="shared" si="5"/>
        <v>65</v>
      </c>
      <c r="E66">
        <f t="shared" ref="E66:E97" si="14">P$10*(1-EXP(-P$9*A66))</f>
        <v>427.87530238300906</v>
      </c>
      <c r="F66">
        <f t="shared" ref="F66:F97" si="15">P$9*P$10*EXP(-P$9*A66)</f>
        <v>2.1293843084661166</v>
      </c>
      <c r="G66">
        <f t="shared" si="6"/>
        <v>176</v>
      </c>
      <c r="H66">
        <f t="shared" ref="H66:H97" si="16">P$10*(1-EXP(-P$9*G66))</f>
        <v>496.31836320515805</v>
      </c>
      <c r="I66">
        <f t="shared" si="7"/>
        <v>2.224590412992301E-7</v>
      </c>
      <c r="J66" s="2">
        <f t="shared" ref="J66:J97" si="17">(P$1*E66)+(P$2*(P$10-E66))+(P$3*A66)</f>
        <v>20827.973009679637</v>
      </c>
      <c r="K66" s="4">
        <f t="shared" ref="K66:K97" si="18">(P$1*E66)+(P$2*(P$10-A66))+(Y$18*A66)</f>
        <v>90971.738128830097</v>
      </c>
      <c r="L66" s="1">
        <v>65</v>
      </c>
      <c r="M66">
        <f t="shared" si="8"/>
        <v>0.92764813393984713</v>
      </c>
      <c r="O66" s="20"/>
      <c r="P66" s="20"/>
      <c r="Q66" s="20"/>
      <c r="R66" s="20"/>
    </row>
    <row r="67" spans="1:18" x14ac:dyDescent="0.25">
      <c r="A67" s="27">
        <v>66</v>
      </c>
      <c r="B67" s="27">
        <v>0</v>
      </c>
      <c r="C67" s="27">
        <v>465</v>
      </c>
      <c r="D67">
        <f t="shared" ref="D67:D112" si="19">A67*B67</f>
        <v>0</v>
      </c>
      <c r="E67">
        <f t="shared" si="14"/>
        <v>429.97306512452502</v>
      </c>
      <c r="F67">
        <f t="shared" si="15"/>
        <v>2.0664557906160224</v>
      </c>
      <c r="G67">
        <f t="shared" ref="G67:G112" si="20">111+A67</f>
        <v>177</v>
      </c>
      <c r="H67">
        <f t="shared" si="16"/>
        <v>496.39346598926869</v>
      </c>
      <c r="I67">
        <f t="shared" ref="I67:I112" si="21">EXP(-(H67-E$112))</f>
        <v>2.0636371453927819E-7</v>
      </c>
      <c r="J67" s="2">
        <f t="shared" si="17"/>
        <v>20944.062500018998</v>
      </c>
      <c r="K67" s="4">
        <f t="shared" si="18"/>
        <v>91942.715756245248</v>
      </c>
      <c r="L67" s="1">
        <v>66</v>
      </c>
      <c r="M67">
        <f t="shared" si="8"/>
        <v>0.92970930865817825</v>
      </c>
    </row>
    <row r="68" spans="1:18" x14ac:dyDescent="0.25">
      <c r="A68" s="27">
        <v>67</v>
      </c>
      <c r="B68" s="27">
        <v>0</v>
      </c>
      <c r="C68" s="27">
        <v>465</v>
      </c>
      <c r="D68">
        <f t="shared" si="19"/>
        <v>0</v>
      </c>
      <c r="E68">
        <f t="shared" si="14"/>
        <v>432.00883384288608</v>
      </c>
      <c r="F68">
        <f t="shared" si="15"/>
        <v>2.005386964482009</v>
      </c>
      <c r="G68">
        <f t="shared" si="20"/>
        <v>178</v>
      </c>
      <c r="H68">
        <f t="shared" si="16"/>
        <v>496.46634930229942</v>
      </c>
      <c r="I68">
        <f t="shared" si="21"/>
        <v>1.9185826637644596E-7</v>
      </c>
      <c r="J68" s="2">
        <f t="shared" si="17"/>
        <v>21062.631751284556</v>
      </c>
      <c r="K68" s="4">
        <f t="shared" si="18"/>
        <v>92913.073443428861</v>
      </c>
      <c r="L68" s="1">
        <v>67</v>
      </c>
      <c r="M68">
        <f t="shared" ref="M68:M112" si="22">EXP(-(H69-H68))</f>
        <v>0.93171394930477203</v>
      </c>
    </row>
    <row r="69" spans="1:18" x14ac:dyDescent="0.25">
      <c r="A69" s="27">
        <v>68</v>
      </c>
      <c r="B69" s="27">
        <v>1</v>
      </c>
      <c r="C69" s="27">
        <v>466</v>
      </c>
      <c r="D69">
        <f t="shared" si="19"/>
        <v>68</v>
      </c>
      <c r="E69">
        <f t="shared" si="14"/>
        <v>433.98444061320288</v>
      </c>
      <c r="F69">
        <f t="shared" si="15"/>
        <v>1.9461228716223888</v>
      </c>
      <c r="G69">
        <f t="shared" si="20"/>
        <v>179</v>
      </c>
      <c r="H69">
        <f t="shared" si="16"/>
        <v>496.53707873505277</v>
      </c>
      <c r="I69">
        <f t="shared" si="21"/>
        <v>1.7875702307236541E-7</v>
      </c>
      <c r="J69" s="2">
        <f t="shared" si="17"/>
        <v>21183.607480471885</v>
      </c>
      <c r="K69" s="4">
        <f t="shared" si="18"/>
        <v>93882.829511132033</v>
      </c>
      <c r="L69" s="1">
        <v>68</v>
      </c>
      <c r="M69">
        <f t="shared" si="22"/>
        <v>0.93366348051640435</v>
      </c>
    </row>
    <row r="70" spans="1:18" x14ac:dyDescent="0.25">
      <c r="A70" s="27">
        <v>69</v>
      </c>
      <c r="B70" s="27">
        <v>1</v>
      </c>
      <c r="C70" s="27">
        <v>467</v>
      </c>
      <c r="D70">
        <f t="shared" si="19"/>
        <v>69</v>
      </c>
      <c r="E70">
        <f t="shared" si="14"/>
        <v>435.90166336828293</v>
      </c>
      <c r="F70">
        <f t="shared" si="15"/>
        <v>1.8886101777519317</v>
      </c>
      <c r="G70">
        <f t="shared" si="20"/>
        <v>180</v>
      </c>
      <c r="H70">
        <f t="shared" si="16"/>
        <v>496.6057179399624</v>
      </c>
      <c r="I70">
        <f t="shared" si="21"/>
        <v>1.6689890432849591E-7</v>
      </c>
      <c r="J70" s="2">
        <f t="shared" si="17"/>
        <v>21306.918570268681</v>
      </c>
      <c r="K70" s="4">
        <f t="shared" si="18"/>
        <v>94852.001738682826</v>
      </c>
      <c r="L70" s="1">
        <v>69</v>
      </c>
      <c r="M70">
        <f t="shared" si="22"/>
        <v>0.93555929840992835</v>
      </c>
    </row>
    <row r="71" spans="1:18" x14ac:dyDescent="0.25">
      <c r="A71" s="27">
        <v>70</v>
      </c>
      <c r="B71" s="27">
        <v>0</v>
      </c>
      <c r="C71" s="27">
        <v>467</v>
      </c>
      <c r="D71">
        <f t="shared" si="19"/>
        <v>0</v>
      </c>
      <c r="E71">
        <f t="shared" si="14"/>
        <v>437.76222749866747</v>
      </c>
      <c r="F71">
        <f t="shared" si="15"/>
        <v>1.8327971247440678</v>
      </c>
      <c r="G71">
        <f t="shared" si="20"/>
        <v>181</v>
      </c>
      <c r="H71">
        <f t="shared" si="16"/>
        <v>496.67232868837669</v>
      </c>
      <c r="I71">
        <f t="shared" si="21"/>
        <v>1.5614382183895338E-7</v>
      </c>
      <c r="J71" s="2">
        <f t="shared" si="17"/>
        <v>21432.496005053301</v>
      </c>
      <c r="K71" s="4">
        <f t="shared" si="18"/>
        <v>95820.607379986672</v>
      </c>
      <c r="L71" s="1">
        <v>70</v>
      </c>
      <c r="M71">
        <f t="shared" si="22"/>
        <v>0.93740277069636047</v>
      </c>
    </row>
    <row r="72" spans="1:18" x14ac:dyDescent="0.25">
      <c r="A72" s="27">
        <v>71</v>
      </c>
      <c r="B72" s="27">
        <v>0</v>
      </c>
      <c r="C72" s="27">
        <v>467</v>
      </c>
      <c r="D72">
        <f t="shared" si="19"/>
        <v>0</v>
      </c>
      <c r="E72">
        <f t="shared" si="14"/>
        <v>439.56780740538483</v>
      </c>
      <c r="F72">
        <f t="shared" si="15"/>
        <v>1.7786334840515425</v>
      </c>
      <c r="G72">
        <f t="shared" si="20"/>
        <v>182</v>
      </c>
      <c r="H72">
        <f t="shared" si="16"/>
        <v>496.73697092614987</v>
      </c>
      <c r="I72">
        <f t="shared" si="21"/>
        <v>1.4636965121895377E-7</v>
      </c>
      <c r="J72" s="2">
        <f t="shared" si="17"/>
        <v>21560.272808784604</v>
      </c>
      <c r="K72" s="4">
        <f t="shared" si="18"/>
        <v>96788.663179053852</v>
      </c>
      <c r="L72" s="1">
        <v>71</v>
      </c>
      <c r="M72">
        <f t="shared" si="22"/>
        <v>0.93919523683038852</v>
      </c>
    </row>
    <row r="73" spans="1:18" x14ac:dyDescent="0.25">
      <c r="A73" s="27">
        <v>72</v>
      </c>
      <c r="B73" s="27">
        <v>1</v>
      </c>
      <c r="C73" s="27">
        <v>468</v>
      </c>
      <c r="D73">
        <f t="shared" si="19"/>
        <v>72</v>
      </c>
      <c r="E73">
        <f t="shared" si="14"/>
        <v>441.32002800681477</v>
      </c>
      <c r="F73">
        <f t="shared" si="15"/>
        <v>1.726070511503605</v>
      </c>
      <c r="G73">
        <f t="shared" si="20"/>
        <v>183</v>
      </c>
      <c r="H73">
        <f t="shared" si="16"/>
        <v>496.79970282758893</v>
      </c>
      <c r="I73">
        <f t="shared" si="21"/>
        <v>1.3746967924136667E-7</v>
      </c>
      <c r="J73" s="2">
        <f t="shared" si="17"/>
        <v>21690.18398472741</v>
      </c>
      <c r="K73" s="4">
        <f t="shared" si="18"/>
        <v>97756.185385068151</v>
      </c>
      <c r="L73" s="1">
        <v>72</v>
      </c>
      <c r="M73">
        <f t="shared" si="22"/>
        <v>0.94093800818824058</v>
      </c>
    </row>
    <row r="74" spans="1:18" x14ac:dyDescent="0.25">
      <c r="A74" s="27">
        <v>73</v>
      </c>
      <c r="B74" s="27">
        <v>1</v>
      </c>
      <c r="C74" s="27">
        <v>469</v>
      </c>
      <c r="D74">
        <f t="shared" si="19"/>
        <v>73</v>
      </c>
      <c r="E74">
        <f t="shared" si="14"/>
        <v>443.0204662010222</v>
      </c>
      <c r="F74">
        <f t="shared" si="15"/>
        <v>1.6750609034390467</v>
      </c>
      <c r="G74">
        <f t="shared" si="20"/>
        <v>184</v>
      </c>
      <c r="H74">
        <f t="shared" si="16"/>
        <v>496.86058084780802</v>
      </c>
      <c r="I74">
        <f t="shared" si="21"/>
        <v>1.2935044617164787E-7</v>
      </c>
      <c r="J74" s="2">
        <f t="shared" si="17"/>
        <v>21822.166456959112</v>
      </c>
      <c r="K74" s="4">
        <f t="shared" si="18"/>
        <v>98723.189767010219</v>
      </c>
      <c r="L74" s="1">
        <v>73</v>
      </c>
      <c r="M74">
        <f t="shared" si="22"/>
        <v>0.94263236827656849</v>
      </c>
    </row>
    <row r="75" spans="1:18" x14ac:dyDescent="0.25">
      <c r="A75" s="27">
        <v>74</v>
      </c>
      <c r="B75" s="27">
        <v>0</v>
      </c>
      <c r="C75" s="27">
        <v>469</v>
      </c>
      <c r="D75">
        <f t="shared" si="19"/>
        <v>0</v>
      </c>
      <c r="E75">
        <f t="shared" si="14"/>
        <v>444.67065228487462</v>
      </c>
      <c r="F75">
        <f t="shared" si="15"/>
        <v>1.6255587541356218</v>
      </c>
      <c r="G75">
        <f t="shared" si="20"/>
        <v>185</v>
      </c>
      <c r="H75">
        <f t="shared" si="16"/>
        <v>496.91965977353453</v>
      </c>
      <c r="I75">
        <f t="shared" si="21"/>
        <v>1.2192991741241121E-7</v>
      </c>
      <c r="J75" s="2">
        <f t="shared" si="17"/>
        <v>21956.159013605014</v>
      </c>
      <c r="K75" s="4">
        <f t="shared" si="18"/>
        <v>99689.691627848748</v>
      </c>
      <c r="L75" s="1">
        <v>74</v>
      </c>
      <c r="M75">
        <f t="shared" si="22"/>
        <v>0.94427957296640819</v>
      </c>
    </row>
    <row r="76" spans="1:18" x14ac:dyDescent="0.25">
      <c r="A76" s="27">
        <v>75</v>
      </c>
      <c r="B76" s="27">
        <v>0</v>
      </c>
      <c r="C76" s="27">
        <v>469</v>
      </c>
      <c r="D76">
        <f t="shared" si="19"/>
        <v>0</v>
      </c>
      <c r="E76">
        <f t="shared" si="14"/>
        <v>446.27207133122192</v>
      </c>
      <c r="F76">
        <f t="shared" si="15"/>
        <v>1.5775195144975276</v>
      </c>
      <c r="G76">
        <f t="shared" si="20"/>
        <v>186</v>
      </c>
      <c r="H76">
        <f t="shared" si="16"/>
        <v>496.97699277241384</v>
      </c>
      <c r="I76">
        <f t="shared" si="21"/>
        <v>1.1513593034602108E-7</v>
      </c>
      <c r="J76" s="2">
        <f t="shared" si="17"/>
        <v>22092.102251751123</v>
      </c>
      <c r="K76" s="4">
        <f t="shared" si="18"/>
        <v>100655.70581831221</v>
      </c>
      <c r="L76" s="1">
        <v>75</v>
      </c>
      <c r="M76">
        <f t="shared" si="22"/>
        <v>0.94588085075054262</v>
      </c>
    </row>
    <row r="77" spans="1:18" x14ac:dyDescent="0.25">
      <c r="A77" s="27">
        <v>76</v>
      </c>
      <c r="B77" s="27">
        <v>0</v>
      </c>
      <c r="C77" s="27">
        <v>469</v>
      </c>
      <c r="D77">
        <f t="shared" si="19"/>
        <v>0</v>
      </c>
      <c r="E77">
        <f t="shared" si="14"/>
        <v>447.82616452537673</v>
      </c>
      <c r="F77">
        <f t="shared" si="15"/>
        <v>1.5308999519637736</v>
      </c>
      <c r="G77">
        <f t="shared" si="20"/>
        <v>187</v>
      </c>
      <c r="H77">
        <f t="shared" si="16"/>
        <v>497.03263144085736</v>
      </c>
      <c r="I77">
        <f t="shared" si="21"/>
        <v>1.0890487174764964E-7</v>
      </c>
      <c r="J77" s="2">
        <f t="shared" si="17"/>
        <v>22229.938523984929</v>
      </c>
      <c r="K77" s="4">
        <f t="shared" si="18"/>
        <v>101621.24675025378</v>
      </c>
      <c r="L77" s="1">
        <v>76</v>
      </c>
      <c r="M77">
        <f t="shared" si="22"/>
        <v>0.94743740302320367</v>
      </c>
    </row>
    <row r="78" spans="1:18" x14ac:dyDescent="0.25">
      <c r="A78" s="27">
        <v>77</v>
      </c>
      <c r="B78" s="27">
        <v>1</v>
      </c>
      <c r="C78" s="27">
        <v>470</v>
      </c>
      <c r="D78">
        <f t="shared" si="19"/>
        <v>77</v>
      </c>
      <c r="E78">
        <f t="shared" si="14"/>
        <v>449.33433046209836</v>
      </c>
      <c r="F78">
        <f t="shared" si="15"/>
        <v>1.4856581116013559</v>
      </c>
      <c r="G78">
        <f t="shared" si="20"/>
        <v>188</v>
      </c>
      <c r="H78">
        <f t="shared" si="16"/>
        <v>497.0866258504762</v>
      </c>
      <c r="I78">
        <f t="shared" si="21"/>
        <v>1.0318054886516823E-7</v>
      </c>
      <c r="J78" s="2">
        <f t="shared" si="17"/>
        <v>22369.611886516064</v>
      </c>
      <c r="K78" s="4">
        <f t="shared" si="18"/>
        <v>102586.32840962098</v>
      </c>
      <c r="L78" s="1">
        <v>77</v>
      </c>
      <c r="M78">
        <f t="shared" si="22"/>
        <v>0.94895040437853351</v>
      </c>
      <c r="O78" t="s">
        <v>36</v>
      </c>
      <c r="P78">
        <v>0.8</v>
      </c>
    </row>
    <row r="79" spans="1:18" x14ac:dyDescent="0.25">
      <c r="A79" s="27">
        <v>78</v>
      </c>
      <c r="B79" s="27">
        <v>2</v>
      </c>
      <c r="C79" s="27">
        <v>472</v>
      </c>
      <c r="D79">
        <f t="shared" si="19"/>
        <v>156</v>
      </c>
      <c r="E79">
        <f t="shared" si="14"/>
        <v>450.79792640424807</v>
      </c>
      <c r="F79">
        <f t="shared" si="15"/>
        <v>1.4417532783482219</v>
      </c>
      <c r="G79">
        <f t="shared" si="20"/>
        <v>189</v>
      </c>
      <c r="H79">
        <f t="shared" si="16"/>
        <v>497.13902459314289</v>
      </c>
      <c r="I79">
        <f t="shared" si="21"/>
        <v>9.7913223569600434E-8</v>
      </c>
      <c r="J79" s="2">
        <f t="shared" si="17"/>
        <v>22511.068048830079</v>
      </c>
      <c r="K79" s="4">
        <f t="shared" si="18"/>
        <v>103550.96436904249</v>
      </c>
      <c r="L79" s="1">
        <v>78</v>
      </c>
      <c r="M79">
        <f t="shared" si="22"/>
        <v>0.95042100292743781</v>
      </c>
    </row>
    <row r="80" spans="1:18" x14ac:dyDescent="0.25">
      <c r="A80" s="27">
        <v>79</v>
      </c>
      <c r="B80" s="27">
        <v>0</v>
      </c>
      <c r="C80" s="27">
        <v>472</v>
      </c>
      <c r="D80">
        <f t="shared" si="19"/>
        <v>0</v>
      </c>
      <c r="E80">
        <f t="shared" si="14"/>
        <v>452.21826950424781</v>
      </c>
      <c r="F80">
        <f t="shared" si="15"/>
        <v>1.3991459403720514</v>
      </c>
      <c r="G80">
        <f t="shared" si="20"/>
        <v>190</v>
      </c>
      <c r="H80">
        <f t="shared" si="16"/>
        <v>497.18987482472102</v>
      </c>
      <c r="I80">
        <f t="shared" si="21"/>
        <v>9.3058784144878074E-8</v>
      </c>
      <c r="J80" s="2">
        <f t="shared" si="17"/>
        <v>22654.254324830086</v>
      </c>
      <c r="K80" s="4">
        <f t="shared" si="18"/>
        <v>104515.16780004249</v>
      </c>
      <c r="L80" s="1">
        <v>79</v>
      </c>
      <c r="M80">
        <f t="shared" si="22"/>
        <v>0.95185032062879726</v>
      </c>
    </row>
    <row r="81" spans="1:21" x14ac:dyDescent="0.25">
      <c r="A81" s="27">
        <v>80</v>
      </c>
      <c r="B81" s="27">
        <v>1</v>
      </c>
      <c r="C81" s="27">
        <v>473</v>
      </c>
      <c r="D81">
        <f t="shared" si="19"/>
        <v>80</v>
      </c>
      <c r="E81">
        <f t="shared" si="14"/>
        <v>453.59663798944155</v>
      </c>
      <c r="F81">
        <f t="shared" si="15"/>
        <v>1.3577977535118724</v>
      </c>
      <c r="G81">
        <f t="shared" si="20"/>
        <v>191</v>
      </c>
      <c r="H81">
        <f t="shared" si="16"/>
        <v>497.23922230750338</v>
      </c>
      <c r="I81">
        <f t="shared" si="21"/>
        <v>8.8578033525628242E-8</v>
      </c>
      <c r="J81" s="2">
        <f t="shared" si="17"/>
        <v>22799.119585422337</v>
      </c>
      <c r="K81" s="4">
        <f t="shared" si="18"/>
        <v>105478.95148489441</v>
      </c>
      <c r="L81" s="1">
        <v>80</v>
      </c>
      <c r="M81">
        <f t="shared" si="22"/>
        <v>0.95323945363707863</v>
      </c>
      <c r="R81" t="s">
        <v>45</v>
      </c>
      <c r="S81">
        <f>P10</f>
        <v>498.85970209999999</v>
      </c>
    </row>
    <row r="82" spans="1:21" ht="15.75" thickBot="1" x14ac:dyDescent="0.3">
      <c r="A82" s="27">
        <v>81</v>
      </c>
      <c r="B82" s="27">
        <v>0</v>
      </c>
      <c r="C82" s="27">
        <v>473</v>
      </c>
      <c r="D82">
        <f t="shared" si="19"/>
        <v>0</v>
      </c>
      <c r="E82">
        <f t="shared" si="14"/>
        <v>454.93427231242714</v>
      </c>
      <c r="F82">
        <f t="shared" si="15"/>
        <v>1.3176715067705127</v>
      </c>
      <c r="G82">
        <f t="shared" si="20"/>
        <v>192</v>
      </c>
      <c r="H82">
        <f t="shared" si="16"/>
        <v>497.28711145139459</v>
      </c>
      <c r="I82">
        <f t="shared" si="21"/>
        <v>8.4436076282216701E-8</v>
      </c>
      <c r="J82" s="2">
        <f t="shared" si="17"/>
        <v>22945.614212502915</v>
      </c>
      <c r="K82" s="4">
        <f t="shared" si="18"/>
        <v>106442.32782812427</v>
      </c>
      <c r="L82" s="1">
        <v>81</v>
      </c>
      <c r="M82">
        <f t="shared" si="22"/>
        <v>0.95458947265934424</v>
      </c>
    </row>
    <row r="83" spans="1:21" x14ac:dyDescent="0.25">
      <c r="A83" s="27">
        <v>82</v>
      </c>
      <c r="B83" s="27">
        <v>0</v>
      </c>
      <c r="C83" s="27">
        <v>473</v>
      </c>
      <c r="D83">
        <f t="shared" si="19"/>
        <v>0</v>
      </c>
      <c r="E83">
        <f t="shared" si="14"/>
        <v>456.23237626739217</v>
      </c>
      <c r="F83">
        <f t="shared" si="15"/>
        <v>1.2787310888268399</v>
      </c>
      <c r="G83">
        <f t="shared" si="20"/>
        <v>193</v>
      </c>
      <c r="H83">
        <f t="shared" si="16"/>
        <v>497.33358535387816</v>
      </c>
      <c r="I83">
        <f t="shared" si="21"/>
        <v>8.06017895316654E-8</v>
      </c>
      <c r="J83" s="2">
        <f t="shared" si="17"/>
        <v>23093.690054304312</v>
      </c>
      <c r="K83" s="4">
        <f t="shared" si="18"/>
        <v>107405.30886767391</v>
      </c>
      <c r="L83" s="1">
        <v>82</v>
      </c>
      <c r="M83">
        <f t="shared" si="22"/>
        <v>0.95590142332587225</v>
      </c>
      <c r="O83" s="31" t="s">
        <v>37</v>
      </c>
      <c r="P83" s="32" t="s">
        <v>38</v>
      </c>
      <c r="Q83" s="32" t="s">
        <v>39</v>
      </c>
      <c r="R83" s="32" t="s">
        <v>40</v>
      </c>
      <c r="S83" s="32" t="s">
        <v>34</v>
      </c>
      <c r="T83" s="32" t="s">
        <v>41</v>
      </c>
      <c r="U83" s="33" t="s">
        <v>42</v>
      </c>
    </row>
    <row r="84" spans="1:21" x14ac:dyDescent="0.25">
      <c r="A84" s="27">
        <v>83</v>
      </c>
      <c r="B84" s="27">
        <v>0</v>
      </c>
      <c r="C84" s="27">
        <v>473</v>
      </c>
      <c r="D84">
        <f t="shared" si="19"/>
        <v>0</v>
      </c>
      <c r="E84">
        <f t="shared" si="14"/>
        <v>457.49211807345972</v>
      </c>
      <c r="F84">
        <f t="shared" si="15"/>
        <v>1.2409414555376399</v>
      </c>
      <c r="G84">
        <f t="shared" si="20"/>
        <v>194</v>
      </c>
      <c r="H84">
        <f t="shared" si="16"/>
        <v>497.37868583880135</v>
      </c>
      <c r="I84">
        <f t="shared" si="21"/>
        <v>7.704736533593135E-8</v>
      </c>
      <c r="J84" s="2">
        <f t="shared" si="17"/>
        <v>23243.30038206161</v>
      </c>
      <c r="K84" s="4">
        <f t="shared" si="18"/>
        <v>108367.9062857346</v>
      </c>
      <c r="L84" s="1">
        <v>83</v>
      </c>
      <c r="M84">
        <f t="shared" si="22"/>
        <v>0.95717632656855711</v>
      </c>
      <c r="O84" s="23">
        <v>0.8</v>
      </c>
      <c r="P84" s="24">
        <v>10</v>
      </c>
      <c r="Q84" s="24">
        <v>50</v>
      </c>
      <c r="R84" s="24">
        <v>200</v>
      </c>
      <c r="S84" s="24">
        <f>(1/P$9)*(LN(P$10*(1-2.718^(-0.087)))-LN(-LN(O84)))</f>
        <v>174.24987872498784</v>
      </c>
      <c r="T84" s="24">
        <f>P$10*(1-EXP(-P$9*S84))</f>
        <v>496.18137853532164</v>
      </c>
      <c r="U84" s="25">
        <f>(P84*T84)+(Q84*(S$81-T84))+(R84*P$11)</f>
        <v>27295.729963587135</v>
      </c>
    </row>
    <row r="85" spans="1:21" x14ac:dyDescent="0.25">
      <c r="A85" s="27">
        <v>84</v>
      </c>
      <c r="B85" s="27">
        <v>0</v>
      </c>
      <c r="C85" s="27">
        <v>473</v>
      </c>
      <c r="D85">
        <f t="shared" si="19"/>
        <v>0</v>
      </c>
      <c r="E85">
        <f t="shared" si="14"/>
        <v>458.7146314260188</v>
      </c>
      <c r="F85">
        <f t="shared" si="15"/>
        <v>1.2042685983999002</v>
      </c>
      <c r="G85">
        <f t="shared" si="20"/>
        <v>195</v>
      </c>
      <c r="H85">
        <f t="shared" si="16"/>
        <v>497.42245349401441</v>
      </c>
      <c r="I85">
        <f t="shared" si="21"/>
        <v>7.3747914124032343E-8</v>
      </c>
      <c r="J85" s="2">
        <f t="shared" si="17"/>
        <v>23394.399847959248</v>
      </c>
      <c r="K85" s="4">
        <f t="shared" si="18"/>
        <v>109330.13141926019</v>
      </c>
      <c r="L85" s="1">
        <v>84</v>
      </c>
      <c r="M85">
        <f t="shared" si="22"/>
        <v>0.95841517900825646</v>
      </c>
      <c r="O85" s="23">
        <v>0.8</v>
      </c>
      <c r="P85" s="24">
        <v>10</v>
      </c>
      <c r="Q85" s="24">
        <v>50</v>
      </c>
      <c r="R85" s="24">
        <v>1000</v>
      </c>
      <c r="S85" s="24">
        <f t="shared" ref="S85:S91" si="23">(1/P$9)*(LN(P$10*(1-2.718^(-0.087)))-LN(-LN(O85)))</f>
        <v>174.24987872498784</v>
      </c>
      <c r="T85" s="24">
        <f t="shared" ref="T85:T91" si="24">P$10*(1-EXP(-P$9*S85))</f>
        <v>496.18137853532164</v>
      </c>
      <c r="U85" s="25">
        <f t="shared" ref="U85:U91" si="25">(P85*T85)+(Q85*(S$81-T85))+(R85*P$11)</f>
        <v>116095.72996358713</v>
      </c>
    </row>
    <row r="86" spans="1:21" x14ac:dyDescent="0.25">
      <c r="A86" s="27">
        <v>85</v>
      </c>
      <c r="B86" s="27">
        <v>0</v>
      </c>
      <c r="C86" s="27">
        <v>473</v>
      </c>
      <c r="D86">
        <f t="shared" si="19"/>
        <v>0</v>
      </c>
      <c r="E86">
        <f t="shared" si="14"/>
        <v>459.90101651698467</v>
      </c>
      <c r="F86">
        <f t="shared" si="15"/>
        <v>1.1686795139451047</v>
      </c>
      <c r="G86">
        <f t="shared" si="20"/>
        <v>196</v>
      </c>
      <c r="H86">
        <f t="shared" si="16"/>
        <v>497.4649277078974</v>
      </c>
      <c r="I86">
        <f t="shared" si="21"/>
        <v>7.0681120316669985E-8</v>
      </c>
      <c r="J86" s="2">
        <f t="shared" si="17"/>
        <v>23546.944444320612</v>
      </c>
      <c r="K86" s="4">
        <f t="shared" si="18"/>
        <v>110291.99527016985</v>
      </c>
      <c r="L86" s="1">
        <v>85</v>
      </c>
      <c r="M86">
        <f t="shared" si="22"/>
        <v>0.959618953349334</v>
      </c>
      <c r="O86" s="23">
        <v>0.85</v>
      </c>
      <c r="P86" s="24">
        <v>10</v>
      </c>
      <c r="Q86" s="24">
        <v>50</v>
      </c>
      <c r="R86" s="24">
        <v>200</v>
      </c>
      <c r="S86" s="24">
        <f t="shared" si="23"/>
        <v>184.81797188958527</v>
      </c>
      <c r="T86" s="24">
        <f t="shared" si="24"/>
        <v>496.90903726556223</v>
      </c>
      <c r="U86" s="25">
        <f t="shared" si="25"/>
        <v>27266.62361437751</v>
      </c>
    </row>
    <row r="87" spans="1:21" x14ac:dyDescent="0.25">
      <c r="A87" s="27">
        <v>86</v>
      </c>
      <c r="B87" s="27">
        <v>0</v>
      </c>
      <c r="C87" s="27">
        <v>473</v>
      </c>
      <c r="D87">
        <f t="shared" si="19"/>
        <v>0</v>
      </c>
      <c r="E87">
        <f t="shared" si="14"/>
        <v>461.0523410249092</v>
      </c>
      <c r="F87">
        <f t="shared" si="15"/>
        <v>1.1341421740380069</v>
      </c>
      <c r="G87">
        <f t="shared" si="20"/>
        <v>197</v>
      </c>
      <c r="H87">
        <f t="shared" si="16"/>
        <v>497.50614670480712</v>
      </c>
      <c r="I87">
        <f t="shared" si="21"/>
        <v>6.7826942699841204E-8</v>
      </c>
      <c r="J87" s="2">
        <f t="shared" si="17"/>
        <v>23700.891464003631</v>
      </c>
      <c r="K87" s="4">
        <f t="shared" si="18"/>
        <v>111253.50851524909</v>
      </c>
      <c r="L87" s="1">
        <v>86</v>
      </c>
      <c r="M87">
        <f t="shared" si="22"/>
        <v>0.96078859877888312</v>
      </c>
      <c r="O87" s="23">
        <v>0.85</v>
      </c>
      <c r="P87" s="24">
        <v>10</v>
      </c>
      <c r="Q87" s="24">
        <v>50</v>
      </c>
      <c r="R87" s="24">
        <v>1000</v>
      </c>
      <c r="S87" s="24">
        <f t="shared" si="23"/>
        <v>184.81797188958527</v>
      </c>
      <c r="T87" s="24">
        <f t="shared" si="24"/>
        <v>496.90903726556223</v>
      </c>
      <c r="U87" s="25">
        <f t="shared" si="25"/>
        <v>116066.62361437752</v>
      </c>
    </row>
    <row r="88" spans="1:21" x14ac:dyDescent="0.25">
      <c r="A88" s="27">
        <v>87</v>
      </c>
      <c r="B88" s="27">
        <v>2</v>
      </c>
      <c r="C88" s="27">
        <v>475</v>
      </c>
      <c r="D88">
        <f t="shared" si="19"/>
        <v>174</v>
      </c>
      <c r="E88">
        <f t="shared" si="14"/>
        <v>462.16964107582987</v>
      </c>
      <c r="F88">
        <f t="shared" si="15"/>
        <v>1.1006254970531433</v>
      </c>
      <c r="G88">
        <f t="shared" si="20"/>
        <v>198</v>
      </c>
      <c r="H88">
        <f t="shared" si="16"/>
        <v>497.54614757947724</v>
      </c>
      <c r="I88">
        <f t="shared" si="21"/>
        <v>6.5167353236036028E-8</v>
      </c>
      <c r="J88" s="2">
        <f t="shared" si="17"/>
        <v>23856.199461966804</v>
      </c>
      <c r="K88" s="4">
        <f t="shared" si="18"/>
        <v>112214.6815157583</v>
      </c>
      <c r="L88" s="1">
        <v>87</v>
      </c>
      <c r="M88">
        <f t="shared" si="22"/>
        <v>0.96192504137203394</v>
      </c>
      <c r="O88" s="23">
        <v>0.9</v>
      </c>
      <c r="P88" s="24">
        <v>10</v>
      </c>
      <c r="Q88" s="24">
        <v>50</v>
      </c>
      <c r="R88" s="24">
        <v>200</v>
      </c>
      <c r="S88" s="24">
        <f t="shared" si="23"/>
        <v>199.26585826826681</v>
      </c>
      <c r="T88" s="24">
        <f t="shared" si="24"/>
        <v>497.59509216522457</v>
      </c>
      <c r="U88" s="25">
        <f t="shared" si="25"/>
        <v>27239.181418391017</v>
      </c>
    </row>
    <row r="89" spans="1:21" x14ac:dyDescent="0.25">
      <c r="A89" s="27">
        <v>88</v>
      </c>
      <c r="B89" s="27">
        <v>0</v>
      </c>
      <c r="C89" s="27">
        <v>475</v>
      </c>
      <c r="D89">
        <f t="shared" si="19"/>
        <v>0</v>
      </c>
      <c r="E89">
        <f t="shared" si="14"/>
        <v>463.2539221757238</v>
      </c>
      <c r="F89">
        <f t="shared" si="15"/>
        <v>1.068099319903153</v>
      </c>
      <c r="G89">
        <f t="shared" si="20"/>
        <v>199</v>
      </c>
      <c r="H89">
        <f t="shared" si="16"/>
        <v>497.58496633040124</v>
      </c>
      <c r="I89">
        <f t="shared" si="21"/>
        <v>6.2686108957679913E-8</v>
      </c>
      <c r="J89" s="2">
        <f t="shared" si="17"/>
        <v>24012.828217971048</v>
      </c>
      <c r="K89" s="4">
        <f t="shared" si="18"/>
        <v>113175.52432675724</v>
      </c>
      <c r="L89" s="1">
        <v>88</v>
      </c>
      <c r="M89">
        <f t="shared" si="22"/>
        <v>0.96302918450032815</v>
      </c>
      <c r="O89" s="23">
        <v>0.9</v>
      </c>
      <c r="P89" s="24">
        <v>10</v>
      </c>
      <c r="Q89" s="24">
        <v>50</v>
      </c>
      <c r="R89" s="24">
        <v>1000</v>
      </c>
      <c r="S89" s="24">
        <f t="shared" si="23"/>
        <v>199.26585826826681</v>
      </c>
      <c r="T89" s="24">
        <f t="shared" si="24"/>
        <v>497.59509216522457</v>
      </c>
      <c r="U89" s="25">
        <f t="shared" si="25"/>
        <v>116039.18141839102</v>
      </c>
    </row>
    <row r="90" spans="1:21" x14ac:dyDescent="0.25">
      <c r="A90" s="27">
        <v>89</v>
      </c>
      <c r="B90" s="27">
        <v>0</v>
      </c>
      <c r="C90" s="27">
        <v>475</v>
      </c>
      <c r="D90">
        <f t="shared" si="19"/>
        <v>0</v>
      </c>
      <c r="E90">
        <f t="shared" si="14"/>
        <v>464.30616011540576</v>
      </c>
      <c r="F90">
        <f t="shared" si="15"/>
        <v>1.0365343708937296</v>
      </c>
      <c r="G90">
        <f t="shared" si="20"/>
        <v>200</v>
      </c>
      <c r="H90">
        <f t="shared" si="16"/>
        <v>497.62263789222897</v>
      </c>
      <c r="I90">
        <f t="shared" si="21"/>
        <v>6.0368552389013201E-8</v>
      </c>
      <c r="J90" s="2">
        <f t="shared" si="17"/>
        <v>24170.738700383768</v>
      </c>
      <c r="K90" s="4">
        <f t="shared" si="18"/>
        <v>114136.04670615405</v>
      </c>
      <c r="L90" s="1">
        <v>89</v>
      </c>
      <c r="M90">
        <f t="shared" si="22"/>
        <v>0.96410190924274475</v>
      </c>
      <c r="O90" s="29">
        <v>0.95</v>
      </c>
      <c r="P90" s="24">
        <v>10</v>
      </c>
      <c r="Q90" s="24">
        <v>50</v>
      </c>
      <c r="R90" s="24">
        <v>200</v>
      </c>
      <c r="S90" s="30">
        <f t="shared" si="23"/>
        <v>223.26178644354303</v>
      </c>
      <c r="T90" s="30">
        <f t="shared" si="24"/>
        <v>498.24404442914619</v>
      </c>
      <c r="U90" s="25">
        <f t="shared" si="25"/>
        <v>27213.223327834152</v>
      </c>
    </row>
    <row r="91" spans="1:21" ht="15.75" thickBot="1" x14ac:dyDescent="0.3">
      <c r="A91" s="27">
        <v>90</v>
      </c>
      <c r="B91" s="27">
        <v>0</v>
      </c>
      <c r="C91" s="27">
        <v>475</v>
      </c>
      <c r="D91">
        <f t="shared" si="19"/>
        <v>0</v>
      </c>
      <c r="E91">
        <f t="shared" si="14"/>
        <v>465.32730184868348</v>
      </c>
      <c r="F91">
        <f t="shared" si="15"/>
        <v>1.0059022433807729</v>
      </c>
      <c r="G91">
        <f t="shared" si="20"/>
        <v>201</v>
      </c>
      <c r="H91">
        <f t="shared" si="16"/>
        <v>497.65919616720589</v>
      </c>
      <c r="I91">
        <f t="shared" si="21"/>
        <v>5.8201436616468289E-8</v>
      </c>
      <c r="J91" s="2">
        <f t="shared" si="17"/>
        <v>24329.893031052663</v>
      </c>
      <c r="K91" s="4">
        <f t="shared" si="18"/>
        <v>115096.25812348683</v>
      </c>
      <c r="L91" s="1">
        <v>90</v>
      </c>
      <c r="M91">
        <f t="shared" si="22"/>
        <v>0.96514407479927555</v>
      </c>
      <c r="O91" s="34">
        <v>0.95</v>
      </c>
      <c r="P91" s="26">
        <v>10</v>
      </c>
      <c r="Q91" s="26">
        <v>50</v>
      </c>
      <c r="R91" s="26">
        <v>1000</v>
      </c>
      <c r="S91" s="35">
        <f t="shared" si="23"/>
        <v>223.26178644354303</v>
      </c>
      <c r="T91" s="35">
        <f t="shared" si="24"/>
        <v>498.24404442914619</v>
      </c>
      <c r="U91" s="36">
        <f t="shared" si="25"/>
        <v>116013.22332783416</v>
      </c>
    </row>
    <row r="92" spans="1:21" x14ac:dyDescent="0.25">
      <c r="A92" s="27">
        <v>91</v>
      </c>
      <c r="B92" s="27">
        <v>0</v>
      </c>
      <c r="C92" s="27">
        <v>475</v>
      </c>
      <c r="D92">
        <f t="shared" si="19"/>
        <v>0</v>
      </c>
      <c r="E92">
        <f t="shared" si="14"/>
        <v>466.31826634456235</v>
      </c>
      <c r="F92">
        <f t="shared" si="15"/>
        <v>0.97617537020604062</v>
      </c>
      <c r="G92">
        <f t="shared" si="20"/>
        <v>202</v>
      </c>
      <c r="H92">
        <f t="shared" si="16"/>
        <v>497.69467405568309</v>
      </c>
      <c r="I92">
        <f t="shared" si="21"/>
        <v>5.6172771695189969E-8</v>
      </c>
      <c r="J92" s="2">
        <f t="shared" si="17"/>
        <v>24490.254451217508</v>
      </c>
      <c r="K92" s="4">
        <f t="shared" si="18"/>
        <v>116056.16776844562</v>
      </c>
      <c r="L92" s="1">
        <v>91</v>
      </c>
      <c r="M92">
        <f t="shared" si="22"/>
        <v>0.96615651890490162</v>
      </c>
    </row>
    <row r="93" spans="1:21" x14ac:dyDescent="0.25">
      <c r="A93" s="27">
        <v>92</v>
      </c>
      <c r="B93" s="27">
        <v>0</v>
      </c>
      <c r="C93" s="27">
        <v>475</v>
      </c>
      <c r="D93">
        <f t="shared" si="19"/>
        <v>0</v>
      </c>
      <c r="E93">
        <f t="shared" si="14"/>
        <v>467.27994541426438</v>
      </c>
      <c r="F93">
        <f t="shared" si="15"/>
        <v>0.94732699888828442</v>
      </c>
      <c r="G93">
        <f t="shared" si="20"/>
        <v>203</v>
      </c>
      <c r="H93">
        <f t="shared" si="16"/>
        <v>497.72910348572594</v>
      </c>
      <c r="I93">
        <f t="shared" si="21"/>
        <v>5.4271689558264528E-8</v>
      </c>
      <c r="J93" s="2">
        <f t="shared" si="17"/>
        <v>24651.787288429427</v>
      </c>
      <c r="K93" s="4">
        <f t="shared" si="18"/>
        <v>117015.78455914264</v>
      </c>
      <c r="L93" s="1">
        <v>92</v>
      </c>
      <c r="M93">
        <f t="shared" si="22"/>
        <v>0.96714005824508276</v>
      </c>
    </row>
    <row r="94" spans="1:21" x14ac:dyDescent="0.25">
      <c r="A94" s="27">
        <v>93</v>
      </c>
      <c r="B94" s="27">
        <v>0</v>
      </c>
      <c r="C94" s="27">
        <v>475</v>
      </c>
      <c r="D94">
        <f t="shared" si="19"/>
        <v>0</v>
      </c>
      <c r="E94">
        <f t="shared" si="14"/>
        <v>468.21320451380728</v>
      </c>
      <c r="F94">
        <f t="shared" si="15"/>
        <v>0.9193311675475524</v>
      </c>
      <c r="G94">
        <f t="shared" si="20"/>
        <v>204</v>
      </c>
      <c r="H94">
        <f t="shared" si="16"/>
        <v>497.76251544184714</v>
      </c>
      <c r="I94">
        <f t="shared" si="21"/>
        <v>5.2488325000439002E-8</v>
      </c>
      <c r="J94" s="2">
        <f t="shared" si="17"/>
        <v>24814.45692444771</v>
      </c>
      <c r="K94" s="4">
        <f t="shared" si="18"/>
        <v>117975.11715013807</v>
      </c>
      <c r="L94" s="1">
        <v>93</v>
      </c>
      <c r="M94">
        <f t="shared" si="22"/>
        <v>0.9680954888697294</v>
      </c>
    </row>
    <row r="95" spans="1:21" x14ac:dyDescent="0.25">
      <c r="A95" s="27">
        <v>94</v>
      </c>
      <c r="B95" s="27">
        <v>0</v>
      </c>
      <c r="C95" s="27">
        <v>475</v>
      </c>
      <c r="D95">
        <f t="shared" si="19"/>
        <v>0</v>
      </c>
      <c r="E95">
        <f t="shared" si="14"/>
        <v>469.11888352286553</v>
      </c>
      <c r="F95">
        <f t="shared" si="15"/>
        <v>0.89216268154098544</v>
      </c>
      <c r="G95">
        <f t="shared" si="20"/>
        <v>205</v>
      </c>
      <c r="H95">
        <f t="shared" si="16"/>
        <v>497.79493999289127</v>
      </c>
      <c r="I95">
        <f t="shared" si="21"/>
        <v>5.0813710651253234E-8</v>
      </c>
      <c r="J95" s="2">
        <f t="shared" si="17"/>
        <v>24978.229764085379</v>
      </c>
      <c r="K95" s="4">
        <f t="shared" si="18"/>
        <v>118934.17394022865</v>
      </c>
      <c r="L95" s="1">
        <v>94</v>
      </c>
      <c r="M95">
        <f t="shared" si="22"/>
        <v>0.96902358660719878</v>
      </c>
    </row>
    <row r="96" spans="1:21" x14ac:dyDescent="0.25">
      <c r="A96" s="27">
        <v>95</v>
      </c>
      <c r="B96" s="27">
        <v>0</v>
      </c>
      <c r="C96" s="27">
        <v>475</v>
      </c>
      <c r="D96">
        <f t="shared" si="19"/>
        <v>0</v>
      </c>
      <c r="E96">
        <f t="shared" si="14"/>
        <v>469.99779750061327</v>
      </c>
      <c r="F96">
        <f t="shared" si="15"/>
        <v>0.86579709078908307</v>
      </c>
      <c r="G96">
        <f>111+A96</f>
        <v>206</v>
      </c>
      <c r="H96">
        <f t="shared" si="16"/>
        <v>497.82640631909499</v>
      </c>
      <c r="I96">
        <f t="shared" si="21"/>
        <v>4.9239684144097829E-8</v>
      </c>
      <c r="J96" s="2">
        <f t="shared" si="17"/>
        <v>25143.073204975466</v>
      </c>
      <c r="K96" s="4">
        <f t="shared" si="18"/>
        <v>119892.96308000613</v>
      </c>
      <c r="L96" s="1">
        <v>95</v>
      </c>
      <c r="M96">
        <f t="shared" si="22"/>
        <v>0.96992510747647598</v>
      </c>
    </row>
    <row r="97" spans="1:13" x14ac:dyDescent="0.25">
      <c r="A97" s="27">
        <v>96</v>
      </c>
      <c r="B97" s="27">
        <v>1</v>
      </c>
      <c r="C97" s="27">
        <v>476</v>
      </c>
      <c r="D97">
        <f t="shared" si="19"/>
        <v>96</v>
      </c>
      <c r="E97">
        <f t="shared" si="14"/>
        <v>470.85073741923162</v>
      </c>
      <c r="F97">
        <f t="shared" si="15"/>
        <v>0.84021066777203379</v>
      </c>
      <c r="G97">
        <f t="shared" si="20"/>
        <v>207</v>
      </c>
      <c r="H97">
        <f t="shared" si="16"/>
        <v>497.85694273834758</v>
      </c>
      <c r="I97">
        <f t="shared" si="21"/>
        <v>4.7758805935571817E-8</v>
      </c>
      <c r="J97" s="2">
        <f t="shared" si="17"/>
        <v>25308.955608230735</v>
      </c>
      <c r="K97" s="4">
        <f t="shared" si="18"/>
        <v>120851.49247919231</v>
      </c>
      <c r="L97" s="1">
        <v>96</v>
      </c>
      <c r="M97">
        <f t="shared" si="22"/>
        <v>0.97080078809774106</v>
      </c>
    </row>
    <row r="98" spans="1:13" x14ac:dyDescent="0.25">
      <c r="A98" s="27">
        <v>97</v>
      </c>
      <c r="B98" s="27">
        <v>0</v>
      </c>
      <c r="C98" s="27">
        <v>476</v>
      </c>
      <c r="D98">
        <f t="shared" si="19"/>
        <v>0</v>
      </c>
      <c r="E98">
        <f t="shared" ref="E98:E112" si="26">P$10*(1-EXP(-P$9*A98))</f>
        <v>471.67847087573762</v>
      </c>
      <c r="F98">
        <f t="shared" ref="F98:F112" si="27">P$9*P$10*EXP(-P$9*A98)</f>
        <v>0.81538038617630848</v>
      </c>
      <c r="G98">
        <f t="shared" si="20"/>
        <v>208</v>
      </c>
      <c r="H98">
        <f t="shared" ref="H98:H112" si="28">P$10*(1-EXP(-P$9*G98))</f>
        <v>497.88657673167523</v>
      </c>
      <c r="I98">
        <f t="shared" si="21"/>
        <v>4.6364286440860197E-8</v>
      </c>
      <c r="J98" s="2">
        <f t="shared" ref="J98:J112" si="29">(P$1*E98)+(P$2*(P$10-E98))+(P$3*A98)</f>
        <v>25475.846269970494</v>
      </c>
      <c r="K98" s="4">
        <f t="shared" ref="K98:K112" si="30">(P$1*E98)+(P$2*(P$10-A98))+(Y$18*A98)</f>
        <v>121809.76981375738</v>
      </c>
      <c r="L98" s="1">
        <v>97</v>
      </c>
      <c r="M98">
        <f t="shared" si="22"/>
        <v>0.97165134609955583</v>
      </c>
    </row>
    <row r="99" spans="1:13" x14ac:dyDescent="0.25">
      <c r="A99" s="27">
        <v>98</v>
      </c>
      <c r="B99" s="27">
        <v>0</v>
      </c>
      <c r="C99" s="27">
        <v>476</v>
      </c>
      <c r="D99">
        <f t="shared" si="19"/>
        <v>0</v>
      </c>
      <c r="E99">
        <f t="shared" si="26"/>
        <v>472.48174278277804</v>
      </c>
      <c r="F99">
        <f t="shared" si="27"/>
        <v>0.7912839001722981</v>
      </c>
      <c r="G99">
        <f t="shared" si="20"/>
        <v>209</v>
      </c>
      <c r="H99">
        <f t="shared" si="28"/>
        <v>497.91533496797268</v>
      </c>
      <c r="I99">
        <f t="shared" si="21"/>
        <v>4.5049921331207195E-8</v>
      </c>
      <c r="J99" s="2">
        <f t="shared" si="29"/>
        <v>25643.715393688879</v>
      </c>
      <c r="K99" s="4">
        <f t="shared" si="30"/>
        <v>122767.80253282777</v>
      </c>
      <c r="L99" s="1">
        <v>98</v>
      </c>
      <c r="M99">
        <f t="shared" si="22"/>
        <v>0.97247748052421301</v>
      </c>
    </row>
    <row r="100" spans="1:13" x14ac:dyDescent="0.25">
      <c r="A100" s="27">
        <v>99</v>
      </c>
      <c r="B100" s="27">
        <v>0</v>
      </c>
      <c r="C100" s="27">
        <v>476</v>
      </c>
      <c r="D100">
        <f t="shared" si="19"/>
        <v>0</v>
      </c>
      <c r="E100">
        <f t="shared" si="26"/>
        <v>473.26127603900773</v>
      </c>
      <c r="F100">
        <f t="shared" si="27"/>
        <v>0.76789952430434871</v>
      </c>
      <c r="G100">
        <f t="shared" si="20"/>
        <v>210</v>
      </c>
      <c r="H100">
        <f t="shared" si="28"/>
        <v>497.94324332800363</v>
      </c>
      <c r="I100">
        <f t="shared" si="21"/>
        <v>4.3810033993986375E-8</v>
      </c>
      <c r="J100" s="2">
        <f t="shared" si="29"/>
        <v>25812.534063439693</v>
      </c>
      <c r="K100" s="4">
        <f t="shared" si="30"/>
        <v>123725.59786539007</v>
      </c>
      <c r="L100" s="1">
        <v>99</v>
      </c>
      <c r="M100">
        <f t="shared" si="22"/>
        <v>0.9732798722294933</v>
      </c>
    </row>
    <row r="101" spans="1:13" x14ac:dyDescent="0.25">
      <c r="A101" s="27">
        <v>100</v>
      </c>
      <c r="B101" s="27">
        <v>1</v>
      </c>
      <c r="C101" s="27">
        <v>477</v>
      </c>
      <c r="D101">
        <f t="shared" si="19"/>
        <v>100</v>
      </c>
      <c r="E101">
        <f t="shared" si="26"/>
        <v>474.0177721796569</v>
      </c>
      <c r="F101">
        <f t="shared" si="27"/>
        <v>0.74520621397509468</v>
      </c>
      <c r="G101">
        <f t="shared" si="20"/>
        <v>211</v>
      </c>
      <c r="H101">
        <f t="shared" si="28"/>
        <v>497.97032692769164</v>
      </c>
      <c r="I101">
        <f t="shared" si="21"/>
        <v>4.2639424288036821E-8</v>
      </c>
      <c r="J101" s="2">
        <f t="shared" si="29"/>
        <v>25982.274217813723</v>
      </c>
      <c r="K101" s="4">
        <f t="shared" si="30"/>
        <v>124683.16282679657</v>
      </c>
      <c r="L101" s="1">
        <v>100</v>
      </c>
      <c r="M101">
        <f t="shared" si="22"/>
        <v>0.97405918428589244</v>
      </c>
    </row>
    <row r="102" spans="1:13" x14ac:dyDescent="0.25">
      <c r="A102" s="27">
        <v>101</v>
      </c>
      <c r="B102" s="27">
        <v>0</v>
      </c>
      <c r="C102" s="27">
        <v>477</v>
      </c>
      <c r="D102">
        <f t="shared" si="19"/>
        <v>0</v>
      </c>
      <c r="E102">
        <f t="shared" si="26"/>
        <v>474.75191200787282</v>
      </c>
      <c r="F102">
        <f t="shared" si="27"/>
        <v>0.72318354650652794</v>
      </c>
      <c r="G102">
        <f t="shared" si="20"/>
        <v>212</v>
      </c>
      <c r="H102">
        <f t="shared" si="28"/>
        <v>497.99661014072342</v>
      </c>
      <c r="I102">
        <f t="shared" si="21"/>
        <v>4.1533322840425212E-8</v>
      </c>
      <c r="J102" s="2">
        <f t="shared" si="29"/>
        <v>26152.908624685086</v>
      </c>
      <c r="K102" s="4">
        <f t="shared" si="30"/>
        <v>125640.50422507874</v>
      </c>
      <c r="L102" s="1">
        <v>101</v>
      </c>
      <c r="M102">
        <f t="shared" si="22"/>
        <v>0.97481606237092899</v>
      </c>
    </row>
    <row r="103" spans="1:13" x14ac:dyDescent="0.25">
      <c r="A103" s="27">
        <v>102</v>
      </c>
      <c r="B103" s="27">
        <v>0</v>
      </c>
      <c r="C103" s="27">
        <v>477</v>
      </c>
      <c r="D103">
        <f t="shared" si="19"/>
        <v>0</v>
      </c>
      <c r="E103">
        <f t="shared" si="26"/>
        <v>475.46435620740374</v>
      </c>
      <c r="F103">
        <f t="shared" si="27"/>
        <v>0.70181170276075866</v>
      </c>
      <c r="G103">
        <f t="shared" si="20"/>
        <v>213</v>
      </c>
      <c r="H103">
        <f t="shared" si="28"/>
        <v>498.02211662048364</v>
      </c>
      <c r="I103">
        <f t="shared" si="21"/>
        <v>4.0487350228483871E-8</v>
      </c>
      <c r="J103" s="2">
        <f t="shared" si="29"/>
        <v>26324.410856703849</v>
      </c>
      <c r="K103" s="4">
        <f t="shared" si="30"/>
        <v>126597.62866707404</v>
      </c>
      <c r="L103" s="1">
        <v>102</v>
      </c>
      <c r="M103">
        <f t="shared" si="22"/>
        <v>0.97555113515887437</v>
      </c>
    </row>
    <row r="104" spans="1:13" x14ac:dyDescent="0.25">
      <c r="A104" s="27">
        <v>103</v>
      </c>
      <c r="B104" s="27">
        <v>1</v>
      </c>
      <c r="C104" s="27">
        <v>478</v>
      </c>
      <c r="D104">
        <f t="shared" si="19"/>
        <v>103</v>
      </c>
      <c r="E104">
        <f t="shared" si="26"/>
        <v>476.15574593717582</v>
      </c>
      <c r="F104">
        <f t="shared" si="27"/>
        <v>0.68107144930392771</v>
      </c>
      <c r="G104">
        <f t="shared" si="20"/>
        <v>214</v>
      </c>
      <c r="H104">
        <f t="shared" si="28"/>
        <v>498.04686932134143</v>
      </c>
      <c r="I104">
        <f t="shared" si="21"/>
        <v>3.9497480474972356E-8</v>
      </c>
      <c r="J104" s="2">
        <f t="shared" si="29"/>
        <v>26496.755267512966</v>
      </c>
      <c r="K104" s="4">
        <f t="shared" si="30"/>
        <v>127554.54256437176</v>
      </c>
      <c r="L104" s="1">
        <v>103</v>
      </c>
      <c r="M104">
        <f t="shared" si="22"/>
        <v>0.9762650147052323</v>
      </c>
    </row>
    <row r="105" spans="1:13" x14ac:dyDescent="0.25">
      <c r="A105" s="27">
        <v>104</v>
      </c>
      <c r="B105" s="27">
        <v>0</v>
      </c>
      <c r="C105" s="27">
        <v>478</v>
      </c>
      <c r="D105">
        <f t="shared" si="19"/>
        <v>0</v>
      </c>
      <c r="E105">
        <f t="shared" si="26"/>
        <v>476.82670340830003</v>
      </c>
      <c r="F105">
        <f t="shared" si="27"/>
        <v>0.66094412109721945</v>
      </c>
      <c r="G105">
        <f t="shared" si="20"/>
        <v>215</v>
      </c>
      <c r="H105">
        <f t="shared" si="28"/>
        <v>498.07089051930819</v>
      </c>
      <c r="I105">
        <f t="shared" si="21"/>
        <v>3.8560008356718514E-8</v>
      </c>
      <c r="J105" s="2">
        <f t="shared" si="29"/>
        <v>26669.916968667996</v>
      </c>
      <c r="K105" s="4">
        <f t="shared" si="30"/>
        <v>128511.25213908299</v>
      </c>
      <c r="L105" s="1">
        <v>104</v>
      </c>
      <c r="M105">
        <f t="shared" si="22"/>
        <v>0.97695829682722457</v>
      </c>
    </row>
    <row r="106" spans="1:13" x14ac:dyDescent="0.25">
      <c r="A106" s="27">
        <v>105</v>
      </c>
      <c r="B106" s="27">
        <v>0</v>
      </c>
      <c r="C106" s="27">
        <v>478</v>
      </c>
      <c r="D106">
        <f t="shared" si="19"/>
        <v>0</v>
      </c>
      <c r="E106">
        <f t="shared" si="26"/>
        <v>477.47783244402615</v>
      </c>
      <c r="F106">
        <f t="shared" si="27"/>
        <v>0.64141160469939629</v>
      </c>
      <c r="G106">
        <f t="shared" si="20"/>
        <v>216</v>
      </c>
      <c r="H106">
        <f t="shared" si="28"/>
        <v>498.09420183208465</v>
      </c>
      <c r="I106">
        <f t="shared" si="21"/>
        <v>3.7671520089823265E-8</v>
      </c>
      <c r="J106" s="2">
        <f t="shared" si="29"/>
        <v>26843.871807238953</v>
      </c>
      <c r="K106" s="4">
        <f t="shared" si="30"/>
        <v>129467.76342944027</v>
      </c>
      <c r="L106" s="1">
        <v>105</v>
      </c>
      <c r="M106">
        <f t="shared" si="22"/>
        <v>0.97763156147875951</v>
      </c>
    </row>
    <row r="107" spans="1:13" x14ac:dyDescent="0.25">
      <c r="A107" s="27">
        <v>106</v>
      </c>
      <c r="B107" s="27">
        <v>1</v>
      </c>
      <c r="C107" s="27">
        <v>479</v>
      </c>
      <c r="D107">
        <f t="shared" si="19"/>
        <v>106</v>
      </c>
      <c r="E107">
        <f t="shared" si="26"/>
        <v>478.1097190231489</v>
      </c>
      <c r="F107">
        <f t="shared" si="27"/>
        <v>0.62245632196574119</v>
      </c>
      <c r="G107">
        <f t="shared" si="20"/>
        <v>217</v>
      </c>
      <c r="H107">
        <f t="shared" si="28"/>
        <v>498.11682423851556</v>
      </c>
      <c r="I107">
        <f t="shared" si="21"/>
        <v>3.6828867008692377E-8</v>
      </c>
      <c r="J107" s="2">
        <f t="shared" si="29"/>
        <v>27018.596344074045</v>
      </c>
      <c r="K107" s="4">
        <f t="shared" si="30"/>
        <v>130424.08229523149</v>
      </c>
      <c r="L107" s="1">
        <v>106</v>
      </c>
      <c r="M107">
        <f t="shared" si="22"/>
        <v>0.97828537312022523</v>
      </c>
    </row>
    <row r="108" spans="1:13" x14ac:dyDescent="0.25">
      <c r="A108" s="27">
        <v>107</v>
      </c>
      <c r="B108" s="27">
        <v>0</v>
      </c>
      <c r="C108" s="27">
        <v>479</v>
      </c>
      <c r="D108">
        <f t="shared" si="19"/>
        <v>0</v>
      </c>
      <c r="E108">
        <f t="shared" si="26"/>
        <v>478.72293180735574</v>
      </c>
      <c r="F108">
        <f t="shared" si="27"/>
        <v>0.60406121422873438</v>
      </c>
      <c r="G108">
        <f t="shared" si="20"/>
        <v>218</v>
      </c>
      <c r="H108">
        <f t="shared" si="28"/>
        <v>498.13877809746958</v>
      </c>
      <c r="I108">
        <f t="shared" si="21"/>
        <v>3.6029141903193773E-8</v>
      </c>
      <c r="J108" s="2">
        <f t="shared" si="29"/>
        <v>27194.067832705769</v>
      </c>
      <c r="K108" s="4">
        <f t="shared" si="30"/>
        <v>131380.21442307357</v>
      </c>
      <c r="L108" s="1">
        <v>107</v>
      </c>
      <c r="M108">
        <f t="shared" si="22"/>
        <v>0.97892028108343865</v>
      </c>
    </row>
    <row r="109" spans="1:13" x14ac:dyDescent="0.25">
      <c r="A109" s="27">
        <v>108</v>
      </c>
      <c r="B109" s="27">
        <v>0</v>
      </c>
      <c r="C109" s="27">
        <v>479</v>
      </c>
      <c r="D109">
        <f t="shared" si="19"/>
        <v>0</v>
      </c>
      <c r="E109">
        <f t="shared" si="26"/>
        <v>479.31802265298927</v>
      </c>
      <c r="F109">
        <f t="shared" si="27"/>
        <v>0.58620972694623197</v>
      </c>
      <c r="G109">
        <f t="shared" si="20"/>
        <v>219</v>
      </c>
      <c r="H109">
        <f t="shared" si="28"/>
        <v>498.16008316616069</v>
      </c>
      <c r="I109">
        <f t="shared" si="21"/>
        <v>3.5269657719069553E-8</v>
      </c>
      <c r="J109" s="2">
        <f t="shared" si="29"/>
        <v>27370.264198880428</v>
      </c>
      <c r="K109" s="4">
        <f t="shared" si="30"/>
        <v>132336.16533152989</v>
      </c>
      <c r="L109" s="1">
        <v>108</v>
      </c>
      <c r="M109">
        <f t="shared" si="22"/>
        <v>0.97953681992950259</v>
      </c>
    </row>
    <row r="110" spans="1:13" x14ac:dyDescent="0.25">
      <c r="A110" s="27">
        <v>109</v>
      </c>
      <c r="B110" s="27">
        <v>1</v>
      </c>
      <c r="C110" s="27">
        <v>480</v>
      </c>
      <c r="D110">
        <f t="shared" si="19"/>
        <v>109</v>
      </c>
      <c r="E110">
        <f t="shared" si="26"/>
        <v>479.89552710768675</v>
      </c>
      <c r="F110">
        <f t="shared" si="27"/>
        <v>0.56888579480332624</v>
      </c>
      <c r="G110">
        <f t="shared" si="20"/>
        <v>220</v>
      </c>
      <c r="H110">
        <f t="shared" si="28"/>
        <v>498.18075861792926</v>
      </c>
      <c r="I110">
        <f t="shared" si="21"/>
        <v>3.4547928362139424E-8</v>
      </c>
      <c r="J110" s="2">
        <f t="shared" si="29"/>
        <v>27547.164020692529</v>
      </c>
      <c r="K110" s="4">
        <f t="shared" si="30"/>
        <v>133291.94037607688</v>
      </c>
      <c r="L110" s="1">
        <v>109</v>
      </c>
      <c r="M110">
        <f t="shared" si="22"/>
        <v>0.98013550980353004</v>
      </c>
    </row>
    <row r="111" spans="1:13" x14ac:dyDescent="0.25">
      <c r="A111" s="27">
        <v>110</v>
      </c>
      <c r="B111" s="27">
        <v>0</v>
      </c>
      <c r="C111" s="27">
        <v>480</v>
      </c>
      <c r="D111">
        <f t="shared" si="19"/>
        <v>0</v>
      </c>
      <c r="E111">
        <f t="shared" si="26"/>
        <v>480.4559648923418</v>
      </c>
      <c r="F111">
        <f t="shared" si="27"/>
        <v>0.55207382725448395</v>
      </c>
      <c r="G111">
        <f t="shared" si="20"/>
        <v>221</v>
      </c>
      <c r="H111">
        <f t="shared" si="28"/>
        <v>498.2008230594962</v>
      </c>
      <c r="I111">
        <f t="shared" si="21"/>
        <v>3.3861651377881356E-8</v>
      </c>
      <c r="J111" s="2">
        <f t="shared" si="29"/>
        <v>27724.746509306329</v>
      </c>
      <c r="K111" s="4">
        <f t="shared" si="30"/>
        <v>134247.54475392343</v>
      </c>
      <c r="L111" s="1">
        <v>110</v>
      </c>
      <c r="M111">
        <f t="shared" si="22"/>
        <v>0.98071685678105269</v>
      </c>
    </row>
    <row r="112" spans="1:13" x14ac:dyDescent="0.25">
      <c r="A112" s="27">
        <v>111</v>
      </c>
      <c r="B112" s="27">
        <v>1</v>
      </c>
      <c r="C112" s="27">
        <v>481</v>
      </c>
      <c r="D112">
        <f t="shared" si="19"/>
        <v>111</v>
      </c>
      <c r="E112">
        <f t="shared" si="26"/>
        <v>480.99984036882398</v>
      </c>
      <c r="F112">
        <f t="shared" si="27"/>
        <v>0.53575869449294899</v>
      </c>
      <c r="G112">
        <f t="shared" si="20"/>
        <v>222</v>
      </c>
      <c r="H112">
        <f t="shared" si="28"/>
        <v>498.22029454770831</v>
      </c>
      <c r="I112">
        <f t="shared" si="21"/>
        <v>3.3208692304731601E-8</v>
      </c>
      <c r="J112" s="2">
        <f t="shared" si="29"/>
        <v>27902.991490247041</v>
      </c>
      <c r="K112" s="4">
        <f t="shared" si="30"/>
        <v>135202.98350868822</v>
      </c>
      <c r="L112" s="1">
        <v>111</v>
      </c>
      <c r="M112">
        <f t="shared" si="22"/>
        <v>2.3676892061245353E+216</v>
      </c>
    </row>
    <row r="114" spans="3:4" x14ac:dyDescent="0.25">
      <c r="C114" s="28" t="s">
        <v>8</v>
      </c>
      <c r="D114">
        <f>SUM(D2:D112)</f>
        <v>14052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Sheet1!A1:A1</xm:f>
              <xm:sqref>I1</xm:sqref>
            </x14:sparkline>
            <x14:sparkline>
              <xm:f>Sheet1!A2:A2</xm:f>
              <xm:sqref>I2</xm:sqref>
            </x14:sparkline>
            <x14:sparkline>
              <xm:f>Sheet1!A3:A3</xm:f>
              <xm:sqref>I3</xm:sqref>
            </x14:sparkline>
            <x14:sparkline>
              <xm:f>Sheet1!A4:A4</xm:f>
              <xm:sqref>I4</xm:sqref>
            </x14:sparkline>
            <x14:sparkline>
              <xm:f>Sheet1!A5:A5</xm:f>
              <xm:sqref>I5</xm:sqref>
            </x14:sparkline>
            <x14:sparkline>
              <xm:f>Sheet1!A6:A6</xm:f>
              <xm:sqref>I6</xm:sqref>
            </x14:sparkline>
            <x14:sparkline>
              <xm:f>Sheet1!A7:A7</xm:f>
              <xm:sqref>I7</xm:sqref>
            </x14:sparkline>
            <x14:sparkline>
              <xm:f>Sheet1!A8:A8</xm:f>
              <xm:sqref>I8</xm:sqref>
            </x14:sparkline>
            <x14:sparkline>
              <xm:f>Sheet1!A9:A9</xm:f>
              <xm:sqref>I9</xm:sqref>
            </x14:sparkline>
            <x14:sparkline>
              <xm:f>Sheet1!A10:A10</xm:f>
              <xm:sqref>I10</xm:sqref>
            </x14:sparkline>
            <x14:sparkline>
              <xm:f>Sheet1!A11:A11</xm:f>
              <xm:sqref>I11</xm:sqref>
            </x14:sparkline>
            <x14:sparkline>
              <xm:f>Sheet1!A12:A12</xm:f>
              <xm:sqref>I12</xm:sqref>
            </x14:sparkline>
            <x14:sparkline>
              <xm:f>Sheet1!A13:A13</xm:f>
              <xm:sqref>I13</xm:sqref>
            </x14:sparkline>
            <x14:sparkline>
              <xm:f>Sheet1!A14:A14</xm:f>
              <xm:sqref>I14</xm:sqref>
            </x14:sparkline>
            <x14:sparkline>
              <xm:f>Sheet1!A15:A15</xm:f>
              <xm:sqref>I15</xm:sqref>
            </x14:sparkline>
            <x14:sparkline>
              <xm:f>Sheet1!A16:A16</xm:f>
              <xm:sqref>I16</xm:sqref>
            </x14:sparkline>
            <x14:sparkline>
              <xm:f>Sheet1!A17:A17</xm:f>
              <xm:sqref>I17</xm:sqref>
            </x14:sparkline>
            <x14:sparkline>
              <xm:f>Sheet1!A18:A18</xm:f>
              <xm:sqref>I18</xm:sqref>
            </x14:sparkline>
            <x14:sparkline>
              <xm:f>Sheet1!A19:A19</xm:f>
              <xm:sqref>I19</xm:sqref>
            </x14:sparkline>
            <x14:sparkline>
              <xm:f>Sheet1!A20:A20</xm:f>
              <xm:sqref>I20</xm:sqref>
            </x14:sparkline>
            <x14:sparkline>
              <xm:f>Sheet1!A21:A21</xm:f>
              <xm:sqref>I21</xm:sqref>
            </x14:sparkline>
            <x14:sparkline>
              <xm:f>Sheet1!A22:A22</xm:f>
              <xm:sqref>I22</xm:sqref>
            </x14:sparkline>
            <x14:sparkline>
              <xm:f>Sheet1!A23:A23</xm:f>
              <xm:sqref>I23</xm:sqref>
            </x14:sparkline>
            <x14:sparkline>
              <xm:f>Sheet1!A24:A24</xm:f>
              <xm:sqref>I24</xm:sqref>
            </x14:sparkline>
            <x14:sparkline>
              <xm:f>Sheet1!A25:A25</xm:f>
              <xm:sqref>I25</xm:sqref>
            </x14:sparkline>
            <x14:sparkline>
              <xm:f>Sheet1!A26:A26</xm:f>
              <xm:sqref>I26</xm:sqref>
            </x14:sparkline>
            <x14:sparkline>
              <xm:f>Sheet1!A27:A27</xm:f>
              <xm:sqref>I27</xm:sqref>
            </x14:sparkline>
            <x14:sparkline>
              <xm:f>Sheet1!A28:A28</xm:f>
              <xm:sqref>I28</xm:sqref>
            </x14:sparkline>
            <x14:sparkline>
              <xm:f>Sheet1!A29:A29</xm:f>
              <xm:sqref>I29</xm:sqref>
            </x14:sparkline>
            <x14:sparkline>
              <xm:f>Sheet1!A30:A30</xm:f>
              <xm:sqref>I30</xm:sqref>
            </x14:sparkline>
            <x14:sparkline>
              <xm:f>Sheet1!A31:A31</xm:f>
              <xm:sqref>I31</xm:sqref>
            </x14:sparkline>
            <x14:sparkline>
              <xm:f>Sheet1!A32:A32</xm:f>
              <xm:sqref>I32</xm:sqref>
            </x14:sparkline>
            <x14:sparkline>
              <xm:f>Sheet1!A33:A33</xm:f>
              <xm:sqref>I33</xm:sqref>
            </x14:sparkline>
            <x14:sparkline>
              <xm:f>Sheet1!A34:A34</xm:f>
              <xm:sqref>I34</xm:sqref>
            </x14:sparkline>
            <x14:sparkline>
              <xm:f>Sheet1!A35:A35</xm:f>
              <xm:sqref>I35</xm:sqref>
            </x14:sparkline>
            <x14:sparkline>
              <xm:f>Sheet1!A36:A36</xm:f>
              <xm:sqref>I36</xm:sqref>
            </x14:sparkline>
            <x14:sparkline>
              <xm:f>Sheet1!A37:A37</xm:f>
              <xm:sqref>I37</xm:sqref>
            </x14:sparkline>
            <x14:sparkline>
              <xm:f>Sheet1!A38:A38</xm:f>
              <xm:sqref>I38</xm:sqref>
            </x14:sparkline>
            <x14:sparkline>
              <xm:f>Sheet1!A39:A39</xm:f>
              <xm:sqref>I39</xm:sqref>
            </x14:sparkline>
            <x14:sparkline>
              <xm:f>Sheet1!A40:A40</xm:f>
              <xm:sqref>I40</xm:sqref>
            </x14:sparkline>
            <x14:sparkline>
              <xm:f>Sheet1!A41:A41</xm:f>
              <xm:sqref>I41</xm:sqref>
            </x14:sparkline>
            <x14:sparkline>
              <xm:f>Sheet1!A42:A42</xm:f>
              <xm:sqref>I42</xm:sqref>
            </x14:sparkline>
            <x14:sparkline>
              <xm:f>Sheet1!A43:A43</xm:f>
              <xm:sqref>I43</xm:sqref>
            </x14:sparkline>
            <x14:sparkline>
              <xm:f>Sheet1!A44:A44</xm:f>
              <xm:sqref>I44</xm:sqref>
            </x14:sparkline>
            <x14:sparkline>
              <xm:f>Sheet1!A45:A45</xm:f>
              <xm:sqref>I45</xm:sqref>
            </x14:sparkline>
            <x14:sparkline>
              <xm:f>Sheet1!A46:A46</xm:f>
              <xm:sqref>I46</xm:sqref>
            </x14:sparkline>
            <x14:sparkline>
              <xm:f>Sheet1!A47:A47</xm:f>
              <xm:sqref>I47</xm:sqref>
            </x14:sparkline>
            <x14:sparkline>
              <xm:f>Sheet1!A48:A48</xm:f>
              <xm:sqref>I48</xm:sqref>
            </x14:sparkline>
            <x14:sparkline>
              <xm:f>Sheet1!A49:A49</xm:f>
              <xm:sqref>I49</xm:sqref>
            </x14:sparkline>
            <x14:sparkline>
              <xm:f>Sheet1!A50:A50</xm:f>
              <xm:sqref>I50</xm:sqref>
            </x14:sparkline>
            <x14:sparkline>
              <xm:f>Sheet1!A51:A51</xm:f>
              <xm:sqref>I51</xm:sqref>
            </x14:sparkline>
            <x14:sparkline>
              <xm:f>Sheet1!A52:A52</xm:f>
              <xm:sqref>I52</xm:sqref>
            </x14:sparkline>
            <x14:sparkline>
              <xm:f>Sheet1!A53:A53</xm:f>
              <xm:sqref>I53</xm:sqref>
            </x14:sparkline>
            <x14:sparkline>
              <xm:f>Sheet1!A54:A54</xm:f>
              <xm:sqref>I54</xm:sqref>
            </x14:sparkline>
            <x14:sparkline>
              <xm:f>Sheet1!A55:A55</xm:f>
              <xm:sqref>I55</xm:sqref>
            </x14:sparkline>
            <x14:sparkline>
              <xm:f>Sheet1!A56:A56</xm:f>
              <xm:sqref>I56</xm:sqref>
            </x14:sparkline>
            <x14:sparkline>
              <xm:f>Sheet1!A57:A57</xm:f>
              <xm:sqref>I57</xm:sqref>
            </x14:sparkline>
            <x14:sparkline>
              <xm:f>Sheet1!A58:A58</xm:f>
              <xm:sqref>I58</xm:sqref>
            </x14:sparkline>
            <x14:sparkline>
              <xm:f>Sheet1!A59:A59</xm:f>
              <xm:sqref>I59</xm:sqref>
            </x14:sparkline>
            <x14:sparkline>
              <xm:f>Sheet1!A60:A60</xm:f>
              <xm:sqref>I60</xm:sqref>
            </x14:sparkline>
            <x14:sparkline>
              <xm:f>Sheet1!A61:A61</xm:f>
              <xm:sqref>I61</xm:sqref>
            </x14:sparkline>
            <x14:sparkline>
              <xm:f>Sheet1!A62:A62</xm:f>
              <xm:sqref>I62</xm:sqref>
            </x14:sparkline>
            <x14:sparkline>
              <xm:f>Sheet1!A63:A63</xm:f>
              <xm:sqref>I63</xm:sqref>
            </x14:sparkline>
            <x14:sparkline>
              <xm:f>Sheet1!A64:A64</xm:f>
              <xm:sqref>I64</xm:sqref>
            </x14:sparkline>
            <x14:sparkline>
              <xm:f>Sheet1!A65:A65</xm:f>
              <xm:sqref>I65</xm:sqref>
            </x14:sparkline>
            <x14:sparkline>
              <xm:f>Sheet1!A66:A66</xm:f>
              <xm:sqref>I66</xm:sqref>
            </x14:sparkline>
            <x14:sparkline>
              <xm:f>Sheet1!A67:A67</xm:f>
              <xm:sqref>I67</xm:sqref>
            </x14:sparkline>
            <x14:sparkline>
              <xm:f>Sheet1!A68:A68</xm:f>
              <xm:sqref>I68</xm:sqref>
            </x14:sparkline>
            <x14:sparkline>
              <xm:f>Sheet1!A69:A69</xm:f>
              <xm:sqref>I69</xm:sqref>
            </x14:sparkline>
            <x14:sparkline>
              <xm:f>Sheet1!A70:A70</xm:f>
              <xm:sqref>I70</xm:sqref>
            </x14:sparkline>
            <x14:sparkline>
              <xm:f>Sheet1!A71:A71</xm:f>
              <xm:sqref>I71</xm:sqref>
            </x14:sparkline>
            <x14:sparkline>
              <xm:f>Sheet1!A72:A72</xm:f>
              <xm:sqref>I72</xm:sqref>
            </x14:sparkline>
            <x14:sparkline>
              <xm:f>Sheet1!A73:A73</xm:f>
              <xm:sqref>I73</xm:sqref>
            </x14:sparkline>
            <x14:sparkline>
              <xm:f>Sheet1!A74:A74</xm:f>
              <xm:sqref>I74</xm:sqref>
            </x14:sparkline>
            <x14:sparkline>
              <xm:f>Sheet1!A75:A75</xm:f>
              <xm:sqref>I75</xm:sqref>
            </x14:sparkline>
            <x14:sparkline>
              <xm:f>Sheet1!A76:A76</xm:f>
              <xm:sqref>I76</xm:sqref>
            </x14:sparkline>
            <x14:sparkline>
              <xm:f>Sheet1!A77:A77</xm:f>
              <xm:sqref>I77</xm:sqref>
            </x14:sparkline>
            <x14:sparkline>
              <xm:f>Sheet1!A78:A78</xm:f>
              <xm:sqref>I78</xm:sqref>
            </x14:sparkline>
            <x14:sparkline>
              <xm:f>Sheet1!A79:A79</xm:f>
              <xm:sqref>I79</xm:sqref>
            </x14:sparkline>
            <x14:sparkline>
              <xm:f>Sheet1!A80:A80</xm:f>
              <xm:sqref>I80</xm:sqref>
            </x14:sparkline>
            <x14:sparkline>
              <xm:f>Sheet1!A81:A81</xm:f>
              <xm:sqref>I81</xm:sqref>
            </x14:sparkline>
            <x14:sparkline>
              <xm:f>Sheet1!A82:A82</xm:f>
              <xm:sqref>I82</xm:sqref>
            </x14:sparkline>
            <x14:sparkline>
              <xm:f>Sheet1!A83:A83</xm:f>
              <xm:sqref>I83</xm:sqref>
            </x14:sparkline>
            <x14:sparkline>
              <xm:f>Sheet1!A84:A84</xm:f>
              <xm:sqref>I84</xm:sqref>
            </x14:sparkline>
            <x14:sparkline>
              <xm:f>Sheet1!A85:A85</xm:f>
              <xm:sqref>I85</xm:sqref>
            </x14:sparkline>
            <x14:sparkline>
              <xm:f>Sheet1!A86:A86</xm:f>
              <xm:sqref>I86</xm:sqref>
            </x14:sparkline>
            <x14:sparkline>
              <xm:f>Sheet1!A87:A87</xm:f>
              <xm:sqref>I87</xm:sqref>
            </x14:sparkline>
            <x14:sparkline>
              <xm:f>Sheet1!A88:A88</xm:f>
              <xm:sqref>I88</xm:sqref>
            </x14:sparkline>
            <x14:sparkline>
              <xm:f>Sheet1!A89:A89</xm:f>
              <xm:sqref>I89</xm:sqref>
            </x14:sparkline>
            <x14:sparkline>
              <xm:f>Sheet1!A90:A90</xm:f>
              <xm:sqref>I90</xm:sqref>
            </x14:sparkline>
            <x14:sparkline>
              <xm:f>Sheet1!A91:A91</xm:f>
              <xm:sqref>I91</xm:sqref>
            </x14:sparkline>
            <x14:sparkline>
              <xm:f>Sheet1!A92:A92</xm:f>
              <xm:sqref>I92</xm:sqref>
            </x14:sparkline>
            <x14:sparkline>
              <xm:f>Sheet1!A93:A93</xm:f>
              <xm:sqref>I93</xm:sqref>
            </x14:sparkline>
            <x14:sparkline>
              <xm:f>Sheet1!A94:A94</xm:f>
              <xm:sqref>I94</xm:sqref>
            </x14:sparkline>
            <x14:sparkline>
              <xm:f>Sheet1!A95:A95</xm:f>
              <xm:sqref>I95</xm:sqref>
            </x14:sparkline>
            <x14:sparkline>
              <xm:f>Sheet1!A96:A96</xm:f>
              <xm:sqref>I96</xm:sqref>
            </x14:sparkline>
            <x14:sparkline>
              <xm:f>Sheet1!A97:A97</xm:f>
              <xm:sqref>I97</xm:sqref>
            </x14:sparkline>
            <x14:sparkline>
              <xm:f>Sheet1!A98:A98</xm:f>
              <xm:sqref>I98</xm:sqref>
            </x14:sparkline>
            <x14:sparkline>
              <xm:f>Sheet1!A99:A99</xm:f>
              <xm:sqref>I99</xm:sqref>
            </x14:sparkline>
            <x14:sparkline>
              <xm:f>Sheet1!A100:A100</xm:f>
              <xm:sqref>I100</xm:sqref>
            </x14:sparkline>
            <x14:sparkline>
              <xm:f>Sheet1!A101:A101</xm:f>
              <xm:sqref>I101</xm:sqref>
            </x14:sparkline>
            <x14:sparkline>
              <xm:f>Sheet1!A102:A102</xm:f>
              <xm:sqref>I102</xm:sqref>
            </x14:sparkline>
            <x14:sparkline>
              <xm:f>Sheet1!A103:A103</xm:f>
              <xm:sqref>I103</xm:sqref>
            </x14:sparkline>
            <x14:sparkline>
              <xm:f>Sheet1!A104:A104</xm:f>
              <xm:sqref>I104</xm:sqref>
            </x14:sparkline>
            <x14:sparkline>
              <xm:f>Sheet1!A105:A105</xm:f>
              <xm:sqref>I105</xm:sqref>
            </x14:sparkline>
            <x14:sparkline>
              <xm:f>Sheet1!A106:A106</xm:f>
              <xm:sqref>I106</xm:sqref>
            </x14:sparkline>
            <x14:sparkline>
              <xm:f>Sheet1!A107:A107</xm:f>
              <xm:sqref>I107</xm:sqref>
            </x14:sparkline>
            <x14:sparkline>
              <xm:f>Sheet1!A108:A108</xm:f>
              <xm:sqref>I108</xm:sqref>
            </x14:sparkline>
            <x14:sparkline>
              <xm:f>Sheet1!A109:A109</xm:f>
              <xm:sqref>I109</xm:sqref>
            </x14:sparkline>
            <x14:sparkline>
              <xm:f>Sheet1!A110:A110</xm:f>
              <xm:sqref>I110</xm:sqref>
            </x14:sparkline>
            <x14:sparkline>
              <xm:f>Sheet1!A111:A111</xm:f>
              <xm:sqref>I111</xm:sqref>
            </x14:sparkline>
            <x14:sparkline>
              <xm:f>Sheet1!A112:A112</xm:f>
              <xm:sqref>I112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34</v>
      </c>
      <c r="B1">
        <v>174</v>
      </c>
    </row>
    <row r="2" spans="1:2" x14ac:dyDescent="0.25">
      <c r="A2" t="s">
        <v>46</v>
      </c>
      <c r="B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2026-03-11T17:27:17Z</dcterms:created>
  <dcterms:modified xsi:type="dcterms:W3CDTF">2026-03-20T06:40:16Z</dcterms:modified>
</cp:coreProperties>
</file>